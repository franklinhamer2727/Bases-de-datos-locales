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TEMARIO" sheetId="2" state="visible" r:id="rId2"/>
    <sheet xmlns:r="http://schemas.openxmlformats.org/officeDocument/2006/relationships" name="TECNOLOGÍA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DOCKER" sheetId="5" state="visible" r:id="rId5"/>
    <sheet xmlns:r="http://schemas.openxmlformats.org/officeDocument/2006/relationships" name="KAGGLE" sheetId="6" state="visible" r:id="rId6"/>
    <sheet xmlns:r="http://schemas.openxmlformats.org/officeDocument/2006/relationships" name="PROYECTOS" sheetId="7" state="visible" r:id="rId7"/>
    <sheet xmlns:r="http://schemas.openxmlformats.org/officeDocument/2006/relationships" name="PROGRESO" sheetId="8" state="visible" r:id="rId8"/>
    <sheet xmlns:r="http://schemas.openxmlformats.org/officeDocument/2006/relationships" name="PLAN_12_SEMANAS" sheetId="9" state="visible" r:id="rId9"/>
  </sheets>
  <definedNames>
    <definedName name="_xlnm._FilterDatabase" localSheetId="0" hidden="1">'GANTT'!$A$1:$X$25</definedName>
    <definedName name="_xlnm._FilterDatabase" localSheetId="1" hidden="1">'TEMARIO'!$A$1:$K$25</definedName>
    <definedName name="_xlnm._FilterDatabase" localSheetId="2" hidden="1">'TECNOLOGÍAS'!$A$1:$D$10</definedName>
    <definedName name="_xlnm._FilterDatabase" localSheetId="3" hidden="1">'INTERFACES'!$A$1:$F$9</definedName>
    <definedName name="_xlnm._FilterDatabase" localSheetId="4" hidden="1">'DOCKER'!$A$1:$D$15</definedName>
    <definedName name="_xlnm._FilterDatabase" localSheetId="5" hidden="1">'KAGGLE'!$A$1:$H$13</definedName>
    <definedName name="_xlnm._FilterDatabase" localSheetId="6" hidden="1">'PROYECTOS'!$A$1:$L$9</definedName>
    <definedName name="_xlnm._FilterDatabase" localSheetId="7" hidden="1">'PROGRESO'!$A$1:$B$9</definedName>
    <definedName name="_xlnm._FilterDatabase" localSheetId="8" hidden="1">'PLAN_12_SEMANAS'!$A$1:$F$13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0070C0"/>
      </patternFill>
    </fill>
    <fill>
      <patternFill patternType="solid">
        <fgColor rgb="005B9BD5"/>
      </patternFill>
    </fill>
    <fill>
      <patternFill patternType="solid">
        <fgColor rgb="00BF90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planificadas vs completadas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'PROGRESO'!$A$3:$A$4</f>
            </numRef>
          </cat>
          <val>
            <numRef>
              <f>'PROGRESO'!$B$3:$B$4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5" customWidth="1" min="3" max="3"/>
    <col width="45" customWidth="1" min="4" max="4"/>
    <col width="19" customWidth="1" min="5" max="5"/>
    <col width="11" customWidth="1" min="6" max="6"/>
    <col width="10" customWidth="1" min="7" max="7"/>
    <col width="12" customWidth="1" min="8" max="8"/>
    <col width="12" customWidth="1" min="9" max="9"/>
    <col width="11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 ht="30" customHeight="1">
      <c r="A1" s="1" t="inlineStr">
        <is>
          <t>ID</t>
        </is>
      </c>
      <c r="B1" s="1" t="inlineStr">
        <is>
          <t>Fase</t>
        </is>
      </c>
      <c r="C1" s="1" t="inlineStr">
        <is>
          <t>Tema</t>
        </is>
      </c>
      <c r="D1" s="1" t="inlineStr">
        <is>
          <t>Subtema</t>
        </is>
      </c>
      <c r="E1" s="1" t="inlineStr">
        <is>
          <t>Tecnología</t>
        </is>
      </c>
      <c r="F1" s="1" t="inlineStr">
        <is>
          <t>Prioridad</t>
        </is>
      </c>
      <c r="G1" s="1" t="inlineStr">
        <is>
          <t>Horas</t>
        </is>
      </c>
      <c r="H1" s="1" t="inlineStr">
        <is>
          <t>Inicio</t>
        </is>
      </c>
      <c r="I1" s="1" t="inlineStr">
        <is>
          <t>Fin</t>
        </is>
      </c>
      <c r="J1" s="1" t="inlineStr">
        <is>
          <t>Estado</t>
        </is>
      </c>
      <c r="K1" s="1" t="inlineStr">
        <is>
          <t>% progreso</t>
        </is>
      </c>
      <c r="L1" s="1" t="inlineStr">
        <is>
          <t>Sem 1</t>
        </is>
      </c>
      <c r="M1" s="1" t="inlineStr">
        <is>
          <t>Sem 2</t>
        </is>
      </c>
      <c r="N1" s="1" t="inlineStr">
        <is>
          <t>Sem 3</t>
        </is>
      </c>
      <c r="O1" s="1" t="inlineStr">
        <is>
          <t>Sem 4</t>
        </is>
      </c>
      <c r="P1" s="1" t="inlineStr">
        <is>
          <t>Sem 5</t>
        </is>
      </c>
      <c r="Q1" s="1" t="inlineStr">
        <is>
          <t>Sem 6</t>
        </is>
      </c>
      <c r="R1" s="1" t="inlineStr">
        <is>
          <t>Sem 7</t>
        </is>
      </c>
      <c r="S1" s="1" t="inlineStr">
        <is>
          <t>Sem 8</t>
        </is>
      </c>
      <c r="T1" s="1" t="inlineStr">
        <is>
          <t>Sem 9</t>
        </is>
      </c>
      <c r="U1" s="1" t="inlineStr">
        <is>
          <t>Sem 10</t>
        </is>
      </c>
      <c r="V1" s="1" t="inlineStr">
        <is>
          <t>Sem 11</t>
        </is>
      </c>
      <c r="W1" s="1" t="inlineStr">
        <is>
          <t>Sem 12</t>
        </is>
      </c>
      <c r="X1" s="1" t="inlineStr">
        <is>
          <t>Notas</t>
        </is>
      </c>
    </row>
    <row r="2">
      <c r="A2" s="2" t="n">
        <v>1</v>
      </c>
      <c r="B2" s="2" t="inlineStr">
        <is>
          <t>Fundamentos</t>
        </is>
      </c>
      <c r="C2" s="2" t="inlineStr">
        <is>
          <t>Bases de datos, DBMS, tablas, registros, campos, tipos de datos, PK/FK, constraints, relaciones, esquemas, integridad referencial</t>
        </is>
      </c>
      <c r="D2" s="2" t="inlineStr">
        <is>
          <t>Bases de datos, DBMS, tablas, registros, campos, tipos de datos, PK/FK, constraints, relaciones, esquemas, integridad referencial</t>
        </is>
      </c>
      <c r="E2" s="2" t="inlineStr">
        <is>
          <t>SQL</t>
        </is>
      </c>
      <c r="F2" s="2" t="inlineStr">
        <is>
          <t>Alta</t>
        </is>
      </c>
      <c r="G2" s="2" t="n">
        <v>10</v>
      </c>
      <c r="H2" s="3" t="n">
        <v>46307</v>
      </c>
      <c r="I2" s="3" t="n">
        <v>46313</v>
      </c>
      <c r="J2" s="2" t="inlineStr">
        <is>
          <t>Pendiente</t>
        </is>
      </c>
      <c r="K2" s="4" t="n">
        <v>0</v>
      </c>
      <c r="L2" s="2" t="inlineStr">
        <is>
          <t>■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2" t="n">
        <v>2</v>
      </c>
      <c r="B3" s="2" t="inlineStr">
        <is>
          <t>Fundamentos</t>
        </is>
      </c>
      <c r="C3" s="2" t="inlineStr">
        <is>
          <t>Modelo entidad-relación, 1:1, 1:N, N:M, tablas intermedias, normalización 1NF/2NF/3NF, desnormalización</t>
        </is>
      </c>
      <c r="D3" s="2" t="inlineStr">
        <is>
          <t>Modelo entidad-relación, 1:1, 1:N, N:M, tablas intermedias, normalización 1NF/2NF/3NF, desnormalización</t>
        </is>
      </c>
      <c r="E3" s="2" t="inlineStr">
        <is>
          <t>SQL</t>
        </is>
      </c>
      <c r="F3" s="2" t="inlineStr">
        <is>
          <t>Alta</t>
        </is>
      </c>
      <c r="G3" s="2" t="n">
        <v>10</v>
      </c>
      <c r="H3" s="3" t="n">
        <v>46307</v>
      </c>
      <c r="I3" s="3" t="n">
        <v>46313</v>
      </c>
      <c r="J3" s="2" t="inlineStr">
        <is>
          <t>Pendiente</t>
        </is>
      </c>
      <c r="K3" s="4" t="n">
        <v>0</v>
      </c>
      <c r="L3" s="2" t="inlineStr">
        <is>
          <t>■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</row>
    <row r="4">
      <c r="A4" s="2" t="n">
        <v>3</v>
      </c>
      <c r="B4" s="2" t="inlineStr">
        <is>
          <t>SQL básico</t>
        </is>
      </c>
      <c r="C4" s="2" t="inlineStr">
        <is>
          <t>SELECT, FROM, WHERE, DISTINCT, ORDER BY, LIMIT, OFFSET, AND, OR, NOT, IN, BETWEEN, LIKE, NULL</t>
        </is>
      </c>
      <c r="D4" s="2" t="inlineStr">
        <is>
          <t>SELECT, FROM, WHERE, DISTINCT, ORDER BY, LIMIT, OFFSET, AND, OR, NOT, IN, BETWEEN, LIKE, NULL</t>
        </is>
      </c>
      <c r="E4" s="2" t="inlineStr">
        <is>
          <t>SQL</t>
        </is>
      </c>
      <c r="F4" s="2" t="inlineStr">
        <is>
          <t>Alta</t>
        </is>
      </c>
      <c r="G4" s="2" t="n">
        <v>12</v>
      </c>
      <c r="H4" s="3" t="n">
        <v>46314</v>
      </c>
      <c r="I4" s="3" t="n">
        <v>46320</v>
      </c>
      <c r="J4" s="2" t="inlineStr">
        <is>
          <t>Pendiente</t>
        </is>
      </c>
      <c r="K4" s="4" t="n">
        <v>0</v>
      </c>
      <c r="L4" s="2" t="inlineStr"/>
      <c r="M4" s="2" t="inlineStr">
        <is>
          <t>■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</row>
    <row r="5">
      <c r="A5" s="2" t="n">
        <v>4</v>
      </c>
      <c r="B5" s="2" t="inlineStr">
        <is>
          <t>CRUD</t>
        </is>
      </c>
      <c r="C5" s="2" t="inlineStr">
        <is>
          <t>INSERT, UPDATE, DELETE, INSERT múltiple, INSERT SELECT, UPSERT</t>
        </is>
      </c>
      <c r="D5" s="2" t="inlineStr">
        <is>
          <t>INSERT, UPDATE, DELETE, INSERT múltiple, INSERT SELECT, UPSERT</t>
        </is>
      </c>
      <c r="E5" s="2" t="inlineStr">
        <is>
          <t>SQL</t>
        </is>
      </c>
      <c r="F5" s="2" t="inlineStr">
        <is>
          <t>Alta</t>
        </is>
      </c>
      <c r="G5" s="2" t="n">
        <v>8</v>
      </c>
      <c r="H5" s="3" t="n">
        <v>46314</v>
      </c>
      <c r="I5" s="3" t="n">
        <v>46320</v>
      </c>
      <c r="J5" s="2" t="inlineStr">
        <is>
          <t>Pendiente</t>
        </is>
      </c>
      <c r="K5" s="4" t="n">
        <v>0</v>
      </c>
      <c r="L5" s="2" t="inlineStr"/>
      <c r="M5" s="2" t="inlineStr">
        <is>
          <t>■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</row>
    <row r="6">
      <c r="A6" s="2" t="n">
        <v>5</v>
      </c>
      <c r="B6" s="2" t="inlineStr">
        <is>
          <t>Funciones y agregaciones</t>
        </is>
      </c>
      <c r="C6" s="2" t="inlineStr">
        <is>
          <t>Funciones de texto, numéricas, fechas, COUNT, SUM, AVG, MIN, MAX, GROUP BY, HAVING</t>
        </is>
      </c>
      <c r="D6" s="2" t="inlineStr">
        <is>
          <t>Funciones de texto, numéricas, fechas, COUNT, SUM, AVG, MIN, MAX, GROUP BY, HAVING</t>
        </is>
      </c>
      <c r="E6" s="2" t="inlineStr">
        <is>
          <t>SQL</t>
        </is>
      </c>
      <c r="F6" s="2" t="inlineStr">
        <is>
          <t>Alta</t>
        </is>
      </c>
      <c r="G6" s="2" t="n">
        <v>12</v>
      </c>
      <c r="H6" s="3" t="n">
        <v>46321</v>
      </c>
      <c r="I6" s="3" t="n">
        <v>46327</v>
      </c>
      <c r="J6" s="2" t="inlineStr">
        <is>
          <t>Pendiente</t>
        </is>
      </c>
      <c r="K6" s="4" t="n">
        <v>0</v>
      </c>
      <c r="L6" s="2" t="inlineStr"/>
      <c r="M6" s="2" t="inlineStr"/>
      <c r="N6" s="2" t="inlineStr">
        <is>
          <t>■</t>
        </is>
      </c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</row>
    <row r="7">
      <c r="A7" s="2" t="n">
        <v>6</v>
      </c>
      <c r="B7" s="2" t="inlineStr">
        <is>
          <t>JOINs</t>
        </is>
      </c>
      <c r="C7" s="2" t="inlineStr">
        <is>
          <t>INNER, LEFT, RIGHT, FULL OUTER, CROSS, SELF JOIN; cruces de múltiples tablas</t>
        </is>
      </c>
      <c r="D7" s="2" t="inlineStr">
        <is>
          <t>INNER, LEFT, RIGHT, FULL OUTER, CROSS, SELF JOIN; cruces de múltiples tablas</t>
        </is>
      </c>
      <c r="E7" s="2" t="inlineStr">
        <is>
          <t>SQL</t>
        </is>
      </c>
      <c r="F7" s="2" t="inlineStr">
        <is>
          <t>Alta</t>
        </is>
      </c>
      <c r="G7" s="2" t="n">
        <v>12</v>
      </c>
      <c r="H7" s="3" t="n">
        <v>46321</v>
      </c>
      <c r="I7" s="3" t="n">
        <v>46327</v>
      </c>
      <c r="J7" s="2" t="inlineStr">
        <is>
          <t>Pendiente</t>
        </is>
      </c>
      <c r="K7" s="4" t="n">
        <v>0</v>
      </c>
      <c r="L7" s="2" t="inlineStr"/>
      <c r="M7" s="2" t="inlineStr"/>
      <c r="N7" s="2" t="inlineStr">
        <is>
          <t>■</t>
        </is>
      </c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</row>
    <row r="8">
      <c r="A8" s="2" t="n">
        <v>7</v>
      </c>
      <c r="B8" s="2" t="inlineStr">
        <is>
          <t>SQL intermedio</t>
        </is>
      </c>
      <c r="C8" s="2" t="inlineStr">
        <is>
          <t>Subconsultas, correlacionadas, EXISTS, NOT EXISTS, CASE, COALESCE, NULLIF, UNION, UNION ALL, INTERSECT, EXCEPT</t>
        </is>
      </c>
      <c r="D8" s="2" t="inlineStr">
        <is>
          <t>Subconsultas, correlacionadas, EXISTS, NOT EXISTS, CASE, COALESCE, NULLIF, UNION, UNION ALL, INTERSECT, EXCEPT</t>
        </is>
      </c>
      <c r="E8" s="2" t="inlineStr">
        <is>
          <t>SQL</t>
        </is>
      </c>
      <c r="F8" s="2" t="inlineStr">
        <is>
          <t>Alta</t>
        </is>
      </c>
      <c r="G8" s="2" t="n">
        <v>14</v>
      </c>
      <c r="H8" s="3" t="n">
        <v>46328</v>
      </c>
      <c r="I8" s="3" t="n">
        <v>46334</v>
      </c>
      <c r="J8" s="2" t="inlineStr">
        <is>
          <t>Pendiente</t>
        </is>
      </c>
      <c r="K8" s="4" t="n">
        <v>0</v>
      </c>
      <c r="L8" s="2" t="inlineStr"/>
      <c r="M8" s="2" t="inlineStr"/>
      <c r="N8" s="2" t="inlineStr"/>
      <c r="O8" s="2" t="inlineStr">
        <is>
          <t>■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</row>
    <row r="9">
      <c r="A9" s="2" t="n">
        <v>8</v>
      </c>
      <c r="B9" s="2" t="inlineStr">
        <is>
          <t>SQL avanzado</t>
        </is>
      </c>
      <c r="C9" s="2" t="inlineStr">
        <is>
          <t>CTE, WITH, CTE múltiples, CTE recursivas, Window Functions, ROW_NUMBER, RANK, DENSE_RANK, LAG, LEAD</t>
        </is>
      </c>
      <c r="D9" s="2" t="inlineStr">
        <is>
          <t>CTE, WITH, CTE múltiples, CTE recursivas, Window Functions, ROW_NUMBER, RANK, DENSE_RANK, LAG, LEAD</t>
        </is>
      </c>
      <c r="E9" s="2" t="inlineStr">
        <is>
          <t>SQL</t>
        </is>
      </c>
      <c r="F9" s="2" t="inlineStr">
        <is>
          <t>Alta</t>
        </is>
      </c>
      <c r="G9" s="2" t="n">
        <v>14</v>
      </c>
      <c r="H9" s="3" t="n">
        <v>46328</v>
      </c>
      <c r="I9" s="3" t="n">
        <v>46334</v>
      </c>
      <c r="J9" s="2" t="inlineStr">
        <is>
          <t>Pendiente</t>
        </is>
      </c>
      <c r="K9" s="4" t="n">
        <v>0</v>
      </c>
      <c r="L9" s="2" t="inlineStr"/>
      <c r="M9" s="2" t="inlineStr"/>
      <c r="N9" s="2" t="inlineStr"/>
      <c r="O9" s="2" t="inlineStr">
        <is>
          <t>■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</row>
    <row r="10">
      <c r="A10" s="2" t="n">
        <v>9</v>
      </c>
      <c r="B10" s="2" t="inlineStr">
        <is>
          <t>SQL avanzado</t>
        </is>
      </c>
      <c r="C10" s="2" t="inlineStr">
        <is>
          <t>SUM OVER, AVG OVER, PARTITION BY, ventanas acumulativas; ejercicios tipo negocio</t>
        </is>
      </c>
      <c r="D10" s="2" t="inlineStr">
        <is>
          <t>SUM OVER, AVG OVER, PARTITION BY, ventanas acumulativas; ejercicios tipo negocio</t>
        </is>
      </c>
      <c r="E10" s="2" t="inlineStr">
        <is>
          <t>SQL</t>
        </is>
      </c>
      <c r="F10" s="2" t="inlineStr">
        <is>
          <t>Alta</t>
        </is>
      </c>
      <c r="G10" s="2" t="n">
        <v>12</v>
      </c>
      <c r="H10" s="3" t="n">
        <v>46335</v>
      </c>
      <c r="I10" s="3" t="n">
        <v>46341</v>
      </c>
      <c r="J10" s="2" t="inlineStr">
        <is>
          <t>Pendiente</t>
        </is>
      </c>
      <c r="K10" s="4" t="n">
        <v>0</v>
      </c>
      <c r="L10" s="2" t="inlineStr"/>
      <c r="M10" s="2" t="inlineStr"/>
      <c r="N10" s="2" t="inlineStr"/>
      <c r="O10" s="2" t="inlineStr"/>
      <c r="P10" s="2" t="inlineStr">
        <is>
          <t>■</t>
        </is>
      </c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</row>
    <row r="11">
      <c r="A11" s="2" t="n">
        <v>10</v>
      </c>
      <c r="B11" s="2" t="inlineStr">
        <is>
          <t>DDL y constraints</t>
        </is>
      </c>
      <c r="C11" s="2" t="inlineStr">
        <is>
          <t>CREATE DATABASE/TABLE/SCHEMA, ALTER, DROP, VIEW; tipos de datos; PK, FK, UNIQUE, NOT NULL, CHECK, DEFAULT</t>
        </is>
      </c>
      <c r="D11" s="2" t="inlineStr">
        <is>
          <t>CREATE DATABASE/TABLE/SCHEMA, ALTER, DROP, VIEW; tipos de datos; PK, FK, UNIQUE, NOT NULL, CHECK, DEFAULT</t>
        </is>
      </c>
      <c r="E11" s="2" t="inlineStr">
        <is>
          <t>SQL</t>
        </is>
      </c>
      <c r="F11" s="2" t="inlineStr">
        <is>
          <t>Alta</t>
        </is>
      </c>
      <c r="G11" s="2" t="n">
        <v>12</v>
      </c>
      <c r="H11" s="3" t="n">
        <v>46335</v>
      </c>
      <c r="I11" s="3" t="n">
        <v>46341</v>
      </c>
      <c r="J11" s="2" t="inlineStr">
        <is>
          <t>Pendiente</t>
        </is>
      </c>
      <c r="K11" s="4" t="n">
        <v>0</v>
      </c>
      <c r="L11" s="2" t="inlineStr"/>
      <c r="M11" s="2" t="inlineStr"/>
      <c r="N11" s="2" t="inlineStr"/>
      <c r="O11" s="2" t="inlineStr"/>
      <c r="P11" s="2" t="inlineStr">
        <is>
          <t>■</t>
        </is>
      </c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</row>
    <row r="12">
      <c r="A12" s="2" t="n">
        <v>11</v>
      </c>
      <c r="B12" s="2" t="inlineStr">
        <is>
          <t>Transacciones</t>
        </is>
      </c>
      <c r="C12" s="2" t="inlineStr">
        <is>
          <t>ACID, BEGIN, COMMIT, ROLLBACK, SAVEPOINT, locks, deadlocks, concurrencia, niveles de aislamiento</t>
        </is>
      </c>
      <c r="D12" s="2" t="inlineStr">
        <is>
          <t>ACID, BEGIN, COMMIT, ROLLBACK, SAVEPOINT, locks, deadlocks, concurrencia, niveles de aislamiento</t>
        </is>
      </c>
      <c r="E12" s="2" t="inlineStr">
        <is>
          <t>SQL</t>
        </is>
      </c>
      <c r="F12" s="2" t="inlineStr">
        <is>
          <t>Alta</t>
        </is>
      </c>
      <c r="G12" s="2" t="n">
        <v>12</v>
      </c>
      <c r="H12" s="3" t="n">
        <v>46342</v>
      </c>
      <c r="I12" s="3" t="n">
        <v>46348</v>
      </c>
      <c r="J12" s="2" t="inlineStr">
        <is>
          <t>Pendiente</t>
        </is>
      </c>
      <c r="K12" s="4" t="n">
        <v>0</v>
      </c>
      <c r="L12" s="2" t="inlineStr"/>
      <c r="M12" s="2" t="inlineStr"/>
      <c r="N12" s="2" t="inlineStr"/>
      <c r="O12" s="2" t="inlineStr"/>
      <c r="P12" s="2" t="inlineStr"/>
      <c r="Q12" s="2" t="inlineStr">
        <is>
          <t>■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</row>
    <row r="13">
      <c r="A13" s="2" t="n">
        <v>12</v>
      </c>
      <c r="B13" s="2" t="inlineStr">
        <is>
          <t>Índices</t>
        </is>
      </c>
      <c r="C13" s="2" t="inlineStr">
        <is>
          <t>B-Tree, únicos, compuestos, parciales, expresiones, cuándo usar/no usar índices</t>
        </is>
      </c>
      <c r="D13" s="2" t="inlineStr">
        <is>
          <t>B-Tree, únicos, compuestos, parciales, expresiones, cuándo usar/no usar índices</t>
        </is>
      </c>
      <c r="E13" s="2" t="inlineStr">
        <is>
          <t>SQL</t>
        </is>
      </c>
      <c r="F13" s="2" t="inlineStr">
        <is>
          <t>Alta</t>
        </is>
      </c>
      <c r="G13" s="2" t="n">
        <v>10</v>
      </c>
      <c r="H13" s="3" t="n">
        <v>46342</v>
      </c>
      <c r="I13" s="3" t="n">
        <v>46348</v>
      </c>
      <c r="J13" s="2" t="inlineStr">
        <is>
          <t>Pendiente</t>
        </is>
      </c>
      <c r="K13" s="4" t="n">
        <v>0</v>
      </c>
      <c r="L13" s="2" t="inlineStr"/>
      <c r="M13" s="2" t="inlineStr"/>
      <c r="N13" s="2" t="inlineStr"/>
      <c r="O13" s="2" t="inlineStr"/>
      <c r="P13" s="2" t="inlineStr"/>
      <c r="Q13" s="2" t="inlineStr">
        <is>
          <t>■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</row>
    <row r="14">
      <c r="A14" s="2" t="n">
        <v>13</v>
      </c>
      <c r="B14" s="2" t="inlineStr">
        <is>
          <t>Optimización</t>
        </is>
      </c>
      <c r="C14" s="2" t="inlineStr">
        <is>
          <t>EXPLAIN, EXPLAIN ANALYZE, planner, execution plans, scans, cardinalidad, selectividad, JOINs, consultas lentas, N+1, paginación</t>
        </is>
      </c>
      <c r="D14" s="2" t="inlineStr">
        <is>
          <t>EXPLAIN, EXPLAIN ANALYZE, planner, execution plans, scans, cardinalidad, selectividad, JOINs, consultas lentas, N+1, paginación</t>
        </is>
      </c>
      <c r="E14" s="2" t="inlineStr">
        <is>
          <t>SQL</t>
        </is>
      </c>
      <c r="F14" s="2" t="inlineStr">
        <is>
          <t>Alta</t>
        </is>
      </c>
      <c r="G14" s="2" t="n">
        <v>14</v>
      </c>
      <c r="H14" s="3" t="n">
        <v>46349</v>
      </c>
      <c r="I14" s="3" t="n">
        <v>46355</v>
      </c>
      <c r="J14" s="2" t="inlineStr">
        <is>
          <t>Pendiente</t>
        </is>
      </c>
      <c r="K14" s="4" t="n">
        <v>0</v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■</t>
        </is>
      </c>
      <c r="S14" s="2" t="inlineStr"/>
      <c r="T14" s="2" t="inlineStr"/>
      <c r="U14" s="2" t="inlineStr"/>
      <c r="V14" s="2" t="inlineStr"/>
      <c r="W14" s="2" t="inlineStr"/>
      <c r="X14" s="2" t="inlineStr"/>
    </row>
    <row r="15">
      <c r="A15" s="2" t="n">
        <v>14</v>
      </c>
      <c r="B15" s="2" t="inlineStr">
        <is>
          <t>PostgreSQL</t>
        </is>
      </c>
      <c r="C15" s="2" t="inlineStr">
        <is>
          <t>psql, schemas, roles, usuarios, permisos, JSONB, arrays, UUID, RETURNING, ON CONFLICT</t>
        </is>
      </c>
      <c r="D15" s="2" t="inlineStr">
        <is>
          <t>psql, schemas, roles, usuarios, permisos, JSONB, arrays, UUID, RETURNING, ON CONFLICT</t>
        </is>
      </c>
      <c r="E15" s="2" t="inlineStr">
        <is>
          <t>PostgreSQL</t>
        </is>
      </c>
      <c r="F15" s="2" t="inlineStr">
        <is>
          <t>Alta</t>
        </is>
      </c>
      <c r="G15" s="2" t="n">
        <v>12</v>
      </c>
      <c r="H15" s="3" t="n">
        <v>46349</v>
      </c>
      <c r="I15" s="3" t="n">
        <v>46355</v>
      </c>
      <c r="J15" s="2" t="inlineStr">
        <is>
          <t>Pendiente</t>
        </is>
      </c>
      <c r="K15" s="4" t="n">
        <v>0</v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>
        <is>
          <t>■</t>
        </is>
      </c>
      <c r="S15" s="2" t="inlineStr"/>
      <c r="T15" s="2" t="inlineStr"/>
      <c r="U15" s="2" t="inlineStr"/>
      <c r="V15" s="2" t="inlineStr"/>
      <c r="W15" s="2" t="inlineStr"/>
      <c r="X15" s="2" t="inlineStr"/>
    </row>
    <row r="16">
      <c r="A16" s="2" t="n">
        <v>15</v>
      </c>
      <c r="B16" s="2" t="inlineStr">
        <is>
          <t>PostgreSQL avanzado</t>
        </is>
      </c>
      <c r="C16" s="2" t="inlineStr">
        <is>
          <t>Funciones, procedimientos, triggers, views, materialized views, índices avanzados, extensiones, pg_dump, pg_restore</t>
        </is>
      </c>
      <c r="D16" s="2" t="inlineStr">
        <is>
          <t>Funciones, procedimientos, triggers, views, materialized views, índices avanzados, extensiones, pg_dump, pg_restore</t>
        </is>
      </c>
      <c r="E16" s="2" t="inlineStr">
        <is>
          <t>PostgreSQL</t>
        </is>
      </c>
      <c r="F16" s="2" t="inlineStr">
        <is>
          <t>Crítica</t>
        </is>
      </c>
      <c r="G16" s="2" t="n">
        <v>14</v>
      </c>
      <c r="H16" s="3" t="n">
        <v>46356</v>
      </c>
      <c r="I16" s="3" t="n">
        <v>46362</v>
      </c>
      <c r="J16" s="2" t="inlineStr">
        <is>
          <t>Pendiente</t>
        </is>
      </c>
      <c r="K16" s="4" t="n">
        <v>0</v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■</t>
        </is>
      </c>
      <c r="T16" s="2" t="inlineStr"/>
      <c r="U16" s="2" t="inlineStr"/>
      <c r="V16" s="2" t="inlineStr"/>
      <c r="W16" s="2" t="inlineStr"/>
      <c r="X16" s="2" t="inlineStr"/>
    </row>
    <row r="17">
      <c r="A17" s="2" t="n">
        <v>16</v>
      </c>
      <c r="B17" s="2" t="inlineStr">
        <is>
          <t>Interfaces</t>
        </is>
      </c>
      <c r="C17" s="2" t="inlineStr">
        <is>
          <t>pgAdmin y DBeaver: conexión, navegación, consultas, explain, exportación y administración básica</t>
        </is>
      </c>
      <c r="D17" s="2" t="inlineStr">
        <is>
          <t>pgAdmin y DBeaver: conexión, navegación, consultas, explain, exportación y administración básica</t>
        </is>
      </c>
      <c r="E17" s="2" t="inlineStr">
        <is>
          <t>pgAdmin/DBeaver</t>
        </is>
      </c>
      <c r="F17" s="2" t="inlineStr">
        <is>
          <t>Crítica</t>
        </is>
      </c>
      <c r="G17" s="2" t="n">
        <v>8</v>
      </c>
      <c r="H17" s="3" t="n">
        <v>46356</v>
      </c>
      <c r="I17" s="3" t="n">
        <v>46362</v>
      </c>
      <c r="J17" s="2" t="inlineStr">
        <is>
          <t>Pendiente</t>
        </is>
      </c>
      <c r="K17" s="4" t="n">
        <v>0</v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■</t>
        </is>
      </c>
      <c r="T17" s="2" t="inlineStr"/>
      <c r="U17" s="2" t="inlineStr"/>
      <c r="V17" s="2" t="inlineStr"/>
      <c r="W17" s="2" t="inlineStr"/>
      <c r="X17" s="2" t="inlineStr"/>
    </row>
    <row r="18">
      <c r="A18" s="2" t="n">
        <v>17</v>
      </c>
      <c r="B18" s="2" t="inlineStr">
        <is>
          <t>Docker</t>
        </is>
      </c>
      <c r="C18" s="2" t="inlineStr">
        <is>
          <t>Imágenes, contenedores, Dockerfile, Compose, puertos, volúmenes, redes, variables de entorno, logs, exec, persistencia</t>
        </is>
      </c>
      <c r="D18" s="2" t="inlineStr">
        <is>
          <t>Imágenes, contenedores, Dockerfile, Compose, puertos, volúmenes, redes, variables de entorno, logs, exec, persistencia</t>
        </is>
      </c>
      <c r="E18" s="2" t="inlineStr">
        <is>
          <t>Docker</t>
        </is>
      </c>
      <c r="F18" s="2" t="inlineStr">
        <is>
          <t>Alta</t>
        </is>
      </c>
      <c r="G18" s="2" t="n">
        <v>14</v>
      </c>
      <c r="H18" s="3" t="n">
        <v>46363</v>
      </c>
      <c r="I18" s="3" t="n">
        <v>46369</v>
      </c>
      <c r="J18" s="2" t="inlineStr">
        <is>
          <t>Pendiente</t>
        </is>
      </c>
      <c r="K18" s="4" t="n">
        <v>0</v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■</t>
        </is>
      </c>
      <c r="U18" s="2" t="inlineStr"/>
      <c r="V18" s="2" t="inlineStr"/>
      <c r="W18" s="2" t="inlineStr"/>
      <c r="X18" s="2" t="inlineStr"/>
    </row>
    <row r="19">
      <c r="A19" s="2" t="n">
        <v>18</v>
      </c>
      <c r="B19" s="2" t="inlineStr">
        <is>
          <t>Docker laboratorio</t>
        </is>
      </c>
      <c r="C19" s="2" t="inlineStr">
        <is>
          <t>Levantar PostgreSQL, MySQL, MariaDB, SQL Server, MongoDB y Redis; volúmenes, redes y troubleshooting</t>
        </is>
      </c>
      <c r="D19" s="2" t="inlineStr">
        <is>
          <t>Levantar PostgreSQL, MySQL, MariaDB, SQL Server, MongoDB y Redis; volúmenes, redes y troubleshooting</t>
        </is>
      </c>
      <c r="E19" s="2" t="inlineStr">
        <is>
          <t>Docker</t>
        </is>
      </c>
      <c r="F19" s="2" t="inlineStr">
        <is>
          <t>Crítica</t>
        </is>
      </c>
      <c r="G19" s="2" t="n">
        <v>14</v>
      </c>
      <c r="H19" s="3" t="n">
        <v>46363</v>
      </c>
      <c r="I19" s="3" t="n">
        <v>46369</v>
      </c>
      <c r="J19" s="2" t="inlineStr">
        <is>
          <t>Pendiente</t>
        </is>
      </c>
      <c r="K19" s="4" t="n">
        <v>0</v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■</t>
        </is>
      </c>
      <c r="U19" s="2" t="inlineStr"/>
      <c r="V19" s="2" t="inlineStr"/>
      <c r="W19" s="2" t="inlineStr"/>
      <c r="X19" s="2" t="inlineStr"/>
    </row>
    <row r="20">
      <c r="A20" s="2" t="n">
        <v>19</v>
      </c>
      <c r="B20" s="2" t="inlineStr">
        <is>
          <t>MySQL y MariaDB</t>
        </is>
      </c>
      <c r="C20" s="2" t="inlineStr">
        <is>
          <t>Diferencias con PostgreSQL, tipos, índices, transacciones, usuarios, permisos, backups/restauración, ON DUPLICATE KEY UPDATE</t>
        </is>
      </c>
      <c r="D20" s="2" t="inlineStr">
        <is>
          <t>Diferencias con PostgreSQL, tipos, índices, transacciones, usuarios, permisos, backups/restauración, ON DUPLICATE KEY UPDATE</t>
        </is>
      </c>
      <c r="E20" s="2" t="inlineStr">
        <is>
          <t>MySQL/MariaDB</t>
        </is>
      </c>
      <c r="F20" s="2" t="inlineStr">
        <is>
          <t>Alta</t>
        </is>
      </c>
      <c r="G20" s="2" t="n">
        <v>14</v>
      </c>
      <c r="H20" s="3" t="n">
        <v>46370</v>
      </c>
      <c r="I20" s="3" t="n">
        <v>46376</v>
      </c>
      <c r="J20" s="2" t="inlineStr">
        <is>
          <t>Pendiente</t>
        </is>
      </c>
      <c r="K20" s="4" t="n">
        <v>0</v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■</t>
        </is>
      </c>
      <c r="V20" s="2" t="inlineStr"/>
      <c r="W20" s="2" t="inlineStr"/>
      <c r="X20" s="2" t="inlineStr"/>
    </row>
    <row r="21">
      <c r="A21" s="2" t="n">
        <v>20</v>
      </c>
      <c r="B21" s="2" t="inlineStr">
        <is>
          <t>SQL Server</t>
        </is>
      </c>
      <c r="C21" s="2" t="inlineStr">
        <is>
          <t>T-SQL, TOP, IDENTITY, schemas, stored procedures, funciones, triggers, views, CTE, window functions, índices</t>
        </is>
      </c>
      <c r="D21" s="2" t="inlineStr">
        <is>
          <t>T-SQL, TOP, IDENTITY, schemas, stored procedures, funciones, triggers, views, CTE, window functions, índices</t>
        </is>
      </c>
      <c r="E21" s="2" t="inlineStr">
        <is>
          <t>SQL Server</t>
        </is>
      </c>
      <c r="F21" s="2" t="inlineStr">
        <is>
          <t>Alta</t>
        </is>
      </c>
      <c r="G21" s="2" t="n">
        <v>14</v>
      </c>
      <c r="H21" s="3" t="n">
        <v>46370</v>
      </c>
      <c r="I21" s="3" t="n">
        <v>46376</v>
      </c>
      <c r="J21" s="2" t="inlineStr">
        <is>
          <t>Pendiente</t>
        </is>
      </c>
      <c r="K21" s="4" t="n">
        <v>0</v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■</t>
        </is>
      </c>
      <c r="V21" s="2" t="inlineStr"/>
      <c r="W21" s="2" t="inlineStr"/>
      <c r="X21" s="2" t="inlineStr"/>
    </row>
    <row r="22">
      <c r="A22" s="2" t="n">
        <v>21</v>
      </c>
      <c r="B22" s="2" t="inlineStr">
        <is>
          <t>SQL Server + SQLite</t>
        </is>
      </c>
      <c r="C22" s="2" t="inlineStr">
        <is>
          <t>SSMS, execution plans, seguridad, backups/restauración; SQLite, WAL, limitaciones y casos de uso</t>
        </is>
      </c>
      <c r="D22" s="2" t="inlineStr">
        <is>
          <t>SSMS, execution plans, seguridad, backups/restauración; SQLite, WAL, limitaciones y casos de uso</t>
        </is>
      </c>
      <c r="E22" s="2" t="inlineStr">
        <is>
          <t>SQL Server/SQLite</t>
        </is>
      </c>
      <c r="F22" s="2" t="inlineStr">
        <is>
          <t>Alta</t>
        </is>
      </c>
      <c r="G22" s="2" t="n">
        <v>12</v>
      </c>
      <c r="H22" s="3" t="n">
        <v>46377</v>
      </c>
      <c r="I22" s="3" t="n">
        <v>46383</v>
      </c>
      <c r="J22" s="2" t="inlineStr">
        <is>
          <t>Pendiente</t>
        </is>
      </c>
      <c r="K22" s="4" t="n">
        <v>0</v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■</t>
        </is>
      </c>
      <c r="W22" s="2" t="inlineStr"/>
      <c r="X22" s="2" t="inlineStr"/>
    </row>
    <row r="23">
      <c r="A23" s="2" t="n">
        <v>22</v>
      </c>
      <c r="B23" s="2" t="inlineStr">
        <is>
          <t>MongoDB</t>
        </is>
      </c>
      <c r="C23" s="2" t="inlineStr">
        <is>
          <t>Documentos, colecciones, BSON, CRUD, filtros, operadores, índices, aggregation pipeline, $lookup, modelado, embedding/referencing</t>
        </is>
      </c>
      <c r="D23" s="2" t="inlineStr">
        <is>
          <t>Documentos, colecciones, BSON, CRUD, filtros, operadores, índices, aggregation pipeline, $lookup, modelado, embedding/referencing</t>
        </is>
      </c>
      <c r="E23" s="2" t="inlineStr">
        <is>
          <t>MongoDB</t>
        </is>
      </c>
      <c r="F23" s="2" t="inlineStr">
        <is>
          <t>Alta</t>
        </is>
      </c>
      <c r="G23" s="2" t="n">
        <v>14</v>
      </c>
      <c r="H23" s="3" t="n">
        <v>46377</v>
      </c>
      <c r="I23" s="3" t="n">
        <v>46383</v>
      </c>
      <c r="J23" s="2" t="inlineStr">
        <is>
          <t>Pendiente</t>
        </is>
      </c>
      <c r="K23" s="4" t="n">
        <v>0</v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■</t>
        </is>
      </c>
      <c r="W23" s="2" t="inlineStr"/>
      <c r="X23" s="2" t="inlineStr"/>
    </row>
    <row r="24">
      <c r="A24" s="2" t="n">
        <v>23</v>
      </c>
      <c r="B24" s="2" t="inlineStr">
        <is>
          <t>Redis</t>
        </is>
      </c>
      <c r="C24" s="2" t="inlineStr">
        <is>
          <t>Strings, Lists, Sets, Sorted Sets, Hashes, Streams, TTL, Pub/Sub, transacciones, pipelines, caching, sesiones, rate limiting</t>
        </is>
      </c>
      <c r="D24" s="2" t="inlineStr">
        <is>
          <t>Strings, Lists, Sets, Sorted Sets, Hashes, Streams, TTL, Pub/Sub, transacciones, pipelines, caching, sesiones, rate limiting</t>
        </is>
      </c>
      <c r="E24" s="2" t="inlineStr">
        <is>
          <t>Redis</t>
        </is>
      </c>
      <c r="F24" s="2" t="inlineStr">
        <is>
          <t>Alta</t>
        </is>
      </c>
      <c r="G24" s="2" t="n">
        <v>12</v>
      </c>
      <c r="H24" s="3" t="n">
        <v>46384</v>
      </c>
      <c r="I24" s="3" t="n">
        <v>46390</v>
      </c>
      <c r="J24" s="2" t="inlineStr">
        <is>
          <t>Pendiente</t>
        </is>
      </c>
      <c r="K24" s="4" t="n">
        <v>0</v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■</t>
        </is>
      </c>
      <c r="X24" s="2" t="inlineStr"/>
    </row>
    <row r="25">
      <c r="A25" s="2" t="n">
        <v>24</v>
      </c>
      <c r="B25" s="2" t="inlineStr">
        <is>
          <t>Proyecto final</t>
        </is>
      </c>
      <c r="C25" s="2" t="inlineStr">
        <is>
          <t>Docker + PostgreSQL + Redis + MongoDB + DBeaver + Git + API + SQL avanzado + backups + optimización</t>
        </is>
      </c>
      <c r="D25" s="2" t="inlineStr">
        <is>
          <t>Docker + PostgreSQL + Redis + MongoDB + DBeaver + Git + API + SQL avanzado + backups + optimización</t>
        </is>
      </c>
      <c r="E25" s="2" t="inlineStr">
        <is>
          <t>Proyecto</t>
        </is>
      </c>
      <c r="F25" s="2" t="inlineStr">
        <is>
          <t>Crítica</t>
        </is>
      </c>
      <c r="G25" s="2" t="n">
        <v>18</v>
      </c>
      <c r="H25" s="3" t="n">
        <v>46384</v>
      </c>
      <c r="I25" s="3" t="n">
        <v>46390</v>
      </c>
      <c r="J25" s="2" t="inlineStr">
        <is>
          <t>Pendiente</t>
        </is>
      </c>
      <c r="K25" s="4" t="n">
        <v>0</v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■</t>
        </is>
      </c>
      <c r="X25" s="2" t="inlineStr"/>
    </row>
  </sheetData>
  <autoFilter ref="A1:X25"/>
  <conditionalFormatting sqref="K2:K25">
    <cfRule type="dataBar" priority="1">
      <dataBar showValue="1">
        <cfvo type="num" val="0"/>
        <cfvo type="num" val="1"/>
        <color rgb="004472C4"/>
      </dataBar>
    </cfRule>
  </conditionalFormatting>
  <dataValidations count="1">
    <dataValidation sqref="J2:J25" showDropDown="0" showInputMessage="0" showErrorMessage="0" allowBlank="0" type="list">
      <formula1>"Pendiente,En progreso,Completado,Bloqueado"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45" customWidth="1" min="4" max="4"/>
    <col width="45" customWidth="1" min="5" max="5"/>
    <col width="19" customWidth="1" min="6" max="6"/>
    <col width="13" customWidth="1" min="7" max="7"/>
    <col width="10" customWidth="1" min="8" max="8"/>
    <col width="11" customWidth="1" min="9" max="9"/>
    <col width="12" customWidth="1" min="10" max="10"/>
    <col width="10" customWidth="1" min="11" max="11"/>
  </cols>
  <sheetData>
    <row r="1" ht="30" customHeight="1">
      <c r="A1" s="5" t="inlineStr">
        <is>
          <t>ID</t>
        </is>
      </c>
      <c r="B1" s="5" t="inlineStr">
        <is>
          <t>Semana</t>
        </is>
      </c>
      <c r="C1" s="5" t="inlineStr">
        <is>
          <t>Fase</t>
        </is>
      </c>
      <c r="D1" s="5" t="inlineStr">
        <is>
          <t>Tema</t>
        </is>
      </c>
      <c r="E1" s="5" t="inlineStr">
        <is>
          <t>Descripción</t>
        </is>
      </c>
      <c r="F1" s="5" t="inlineStr">
        <is>
          <t>Tecnología</t>
        </is>
      </c>
      <c r="G1" s="5" t="inlineStr">
        <is>
          <t>Nivel</t>
        </is>
      </c>
      <c r="H1" s="5" t="inlineStr">
        <is>
          <t>Horas</t>
        </is>
      </c>
      <c r="I1" s="5" t="inlineStr">
        <is>
          <t>Estado</t>
        </is>
      </c>
      <c r="J1" s="5" t="inlineStr">
        <is>
          <t>% progreso</t>
        </is>
      </c>
      <c r="K1" s="5" t="inlineStr">
        <is>
          <t>Notas</t>
        </is>
      </c>
    </row>
    <row r="2">
      <c r="A2" s="2" t="n">
        <v>1</v>
      </c>
      <c r="B2" s="2" t="n">
        <v>1</v>
      </c>
      <c r="C2" s="2" t="inlineStr">
        <is>
          <t>Fundamentos</t>
        </is>
      </c>
      <c r="D2" s="2" t="inlineStr">
        <is>
          <t>Bases de datos, DBMS, tablas, registros, campos, tipos de datos, PK/FK, constraints, relaciones, esquemas, integridad referencial</t>
        </is>
      </c>
      <c r="E2" s="2" t="inlineStr">
        <is>
          <t>Bases de datos, DBMS, tablas, registros, campos, tipos de datos, PK/FK, constraints, relaciones, esquemas, integridad referencial</t>
        </is>
      </c>
      <c r="F2" s="2" t="inlineStr">
        <is>
          <t>SQL</t>
        </is>
      </c>
      <c r="G2" s="2" t="inlineStr">
        <is>
          <t>Básico</t>
        </is>
      </c>
      <c r="H2" s="2" t="n">
        <v>10</v>
      </c>
      <c r="I2" s="2" t="inlineStr">
        <is>
          <t>Pendiente</t>
        </is>
      </c>
      <c r="J2" s="4" t="n">
        <v>0</v>
      </c>
      <c r="K2" s="2" t="inlineStr"/>
    </row>
    <row r="3">
      <c r="A3" s="2" t="n">
        <v>2</v>
      </c>
      <c r="B3" s="2" t="n">
        <v>1</v>
      </c>
      <c r="C3" s="2" t="inlineStr">
        <is>
          <t>Fundamentos</t>
        </is>
      </c>
      <c r="D3" s="2" t="inlineStr">
        <is>
          <t>Modelo entidad-relación, 1:1, 1:N, N:M, tablas intermedias, normalización 1NF/2NF/3NF, desnormalización</t>
        </is>
      </c>
      <c r="E3" s="2" t="inlineStr">
        <is>
          <t>Modelo entidad-relación, 1:1, 1:N, N:M, tablas intermedias, normalización 1NF/2NF/3NF, desnormalización</t>
        </is>
      </c>
      <c r="F3" s="2" t="inlineStr">
        <is>
          <t>SQL</t>
        </is>
      </c>
      <c r="G3" s="2" t="inlineStr">
        <is>
          <t>Básico</t>
        </is>
      </c>
      <c r="H3" s="2" t="n">
        <v>10</v>
      </c>
      <c r="I3" s="2" t="inlineStr">
        <is>
          <t>Pendiente</t>
        </is>
      </c>
      <c r="J3" s="4" t="n">
        <v>0</v>
      </c>
      <c r="K3" s="2" t="inlineStr"/>
    </row>
    <row r="4">
      <c r="A4" s="2" t="n">
        <v>3</v>
      </c>
      <c r="B4" s="2" t="n">
        <v>2</v>
      </c>
      <c r="C4" s="2" t="inlineStr">
        <is>
          <t>SQL básico</t>
        </is>
      </c>
      <c r="D4" s="2" t="inlineStr">
        <is>
          <t>SELECT, FROM, WHERE, DISTINCT, ORDER BY, LIMIT, OFFSET, AND, OR, NOT, IN, BETWEEN, LIKE, NULL</t>
        </is>
      </c>
      <c r="E4" s="2" t="inlineStr">
        <is>
          <t>SELECT, FROM, WHERE, DISTINCT, ORDER BY, LIMIT, OFFSET, AND, OR, NOT, IN, BETWEEN, LIKE, NULL</t>
        </is>
      </c>
      <c r="F4" s="2" t="inlineStr">
        <is>
          <t>SQL</t>
        </is>
      </c>
      <c r="G4" s="2" t="inlineStr">
        <is>
          <t>Básico</t>
        </is>
      </c>
      <c r="H4" s="2" t="n">
        <v>12</v>
      </c>
      <c r="I4" s="2" t="inlineStr">
        <is>
          <t>Pendiente</t>
        </is>
      </c>
      <c r="J4" s="4" t="n">
        <v>0</v>
      </c>
      <c r="K4" s="2" t="inlineStr"/>
    </row>
    <row r="5">
      <c r="A5" s="2" t="n">
        <v>4</v>
      </c>
      <c r="B5" s="2" t="n">
        <v>2</v>
      </c>
      <c r="C5" s="2" t="inlineStr">
        <is>
          <t>CRUD</t>
        </is>
      </c>
      <c r="D5" s="2" t="inlineStr">
        <is>
          <t>INSERT, UPDATE, DELETE, INSERT múltiple, INSERT SELECT, UPSERT</t>
        </is>
      </c>
      <c r="E5" s="2" t="inlineStr">
        <is>
          <t>INSERT, UPDATE, DELETE, INSERT múltiple, INSERT SELECT, UPSERT</t>
        </is>
      </c>
      <c r="F5" s="2" t="inlineStr">
        <is>
          <t>SQL</t>
        </is>
      </c>
      <c r="G5" s="2" t="inlineStr">
        <is>
          <t>Básico</t>
        </is>
      </c>
      <c r="H5" s="2" t="n">
        <v>8</v>
      </c>
      <c r="I5" s="2" t="inlineStr">
        <is>
          <t>Pendiente</t>
        </is>
      </c>
      <c r="J5" s="4" t="n">
        <v>0</v>
      </c>
      <c r="K5" s="2" t="inlineStr"/>
    </row>
    <row r="6">
      <c r="A6" s="2" t="n">
        <v>5</v>
      </c>
      <c r="B6" s="2" t="n">
        <v>3</v>
      </c>
      <c r="C6" s="2" t="inlineStr">
        <is>
          <t>Funciones y agregaciones</t>
        </is>
      </c>
      <c r="D6" s="2" t="inlineStr">
        <is>
          <t>Funciones de texto, numéricas, fechas, COUNT, SUM, AVG, MIN, MAX, GROUP BY, HAVING</t>
        </is>
      </c>
      <c r="E6" s="2" t="inlineStr">
        <is>
          <t>Funciones de texto, numéricas, fechas, COUNT, SUM, AVG, MIN, MAX, GROUP BY, HAVING</t>
        </is>
      </c>
      <c r="F6" s="2" t="inlineStr">
        <is>
          <t>SQL</t>
        </is>
      </c>
      <c r="G6" s="2" t="inlineStr">
        <is>
          <t>Intermedio</t>
        </is>
      </c>
      <c r="H6" s="2" t="n">
        <v>12</v>
      </c>
      <c r="I6" s="2" t="inlineStr">
        <is>
          <t>Pendiente</t>
        </is>
      </c>
      <c r="J6" s="4" t="n">
        <v>0</v>
      </c>
      <c r="K6" s="2" t="inlineStr"/>
    </row>
    <row r="7">
      <c r="A7" s="2" t="n">
        <v>6</v>
      </c>
      <c r="B7" s="2" t="n">
        <v>3</v>
      </c>
      <c r="C7" s="2" t="inlineStr">
        <is>
          <t>JOINs</t>
        </is>
      </c>
      <c r="D7" s="2" t="inlineStr">
        <is>
          <t>INNER, LEFT, RIGHT, FULL OUTER, CROSS, SELF JOIN; cruces de múltiples tablas</t>
        </is>
      </c>
      <c r="E7" s="2" t="inlineStr">
        <is>
          <t>INNER, LEFT, RIGHT, FULL OUTER, CROSS, SELF JOIN; cruces de múltiples tablas</t>
        </is>
      </c>
      <c r="F7" s="2" t="inlineStr">
        <is>
          <t>SQL</t>
        </is>
      </c>
      <c r="G7" s="2" t="inlineStr">
        <is>
          <t>Intermedio</t>
        </is>
      </c>
      <c r="H7" s="2" t="n">
        <v>12</v>
      </c>
      <c r="I7" s="2" t="inlineStr">
        <is>
          <t>Pendiente</t>
        </is>
      </c>
      <c r="J7" s="4" t="n">
        <v>0</v>
      </c>
      <c r="K7" s="2" t="inlineStr"/>
    </row>
    <row r="8">
      <c r="A8" s="2" t="n">
        <v>7</v>
      </c>
      <c r="B8" s="2" t="n">
        <v>4</v>
      </c>
      <c r="C8" s="2" t="inlineStr">
        <is>
          <t>SQL intermedio</t>
        </is>
      </c>
      <c r="D8" s="2" t="inlineStr">
        <is>
          <t>Subconsultas, correlacionadas, EXISTS, NOT EXISTS, CASE, COALESCE, NULLIF, UNION, UNION ALL, INTERSECT, EXCEPT</t>
        </is>
      </c>
      <c r="E8" s="2" t="inlineStr">
        <is>
          <t>Subconsultas, correlacionadas, EXISTS, NOT EXISTS, CASE, COALESCE, NULLIF, UNION, UNION ALL, INTERSECT, EXCEPT</t>
        </is>
      </c>
      <c r="F8" s="2" t="inlineStr">
        <is>
          <t>SQL</t>
        </is>
      </c>
      <c r="G8" s="2" t="inlineStr">
        <is>
          <t>Intermedio</t>
        </is>
      </c>
      <c r="H8" s="2" t="n">
        <v>14</v>
      </c>
      <c r="I8" s="2" t="inlineStr">
        <is>
          <t>Pendiente</t>
        </is>
      </c>
      <c r="J8" s="4" t="n">
        <v>0</v>
      </c>
      <c r="K8" s="2" t="inlineStr"/>
    </row>
    <row r="9">
      <c r="A9" s="2" t="n">
        <v>8</v>
      </c>
      <c r="B9" s="2" t="n">
        <v>4</v>
      </c>
      <c r="C9" s="2" t="inlineStr">
        <is>
          <t>SQL avanzado</t>
        </is>
      </c>
      <c r="D9" s="2" t="inlineStr">
        <is>
          <t>CTE, WITH, CTE múltiples, CTE recursivas, Window Functions, ROW_NUMBER, RANK, DENSE_RANK, LAG, LEAD</t>
        </is>
      </c>
      <c r="E9" s="2" t="inlineStr">
        <is>
          <t>CTE, WITH, CTE múltiples, CTE recursivas, Window Functions, ROW_NUMBER, RANK, DENSE_RANK, LAG, LEAD</t>
        </is>
      </c>
      <c r="F9" s="2" t="inlineStr">
        <is>
          <t>SQL</t>
        </is>
      </c>
      <c r="G9" s="2" t="inlineStr">
        <is>
          <t>Avanzado</t>
        </is>
      </c>
      <c r="H9" s="2" t="n">
        <v>14</v>
      </c>
      <c r="I9" s="2" t="inlineStr">
        <is>
          <t>Pendiente</t>
        </is>
      </c>
      <c r="J9" s="4" t="n">
        <v>0</v>
      </c>
      <c r="K9" s="2" t="inlineStr"/>
    </row>
    <row r="10">
      <c r="A10" s="2" t="n">
        <v>9</v>
      </c>
      <c r="B10" s="2" t="n">
        <v>5</v>
      </c>
      <c r="C10" s="2" t="inlineStr">
        <is>
          <t>SQL avanzado</t>
        </is>
      </c>
      <c r="D10" s="2" t="inlineStr">
        <is>
          <t>SUM OVER, AVG OVER, PARTITION BY, ventanas acumulativas; ejercicios tipo negocio</t>
        </is>
      </c>
      <c r="E10" s="2" t="inlineStr">
        <is>
          <t>SUM OVER, AVG OVER, PARTITION BY, ventanas acumulativas; ejercicios tipo negocio</t>
        </is>
      </c>
      <c r="F10" s="2" t="inlineStr">
        <is>
          <t>SQL</t>
        </is>
      </c>
      <c r="G10" s="2" t="inlineStr">
        <is>
          <t>Avanzado</t>
        </is>
      </c>
      <c r="H10" s="2" t="n">
        <v>12</v>
      </c>
      <c r="I10" s="2" t="inlineStr">
        <is>
          <t>Pendiente</t>
        </is>
      </c>
      <c r="J10" s="4" t="n">
        <v>0</v>
      </c>
      <c r="K10" s="2" t="inlineStr"/>
    </row>
    <row r="11">
      <c r="A11" s="2" t="n">
        <v>10</v>
      </c>
      <c r="B11" s="2" t="n">
        <v>5</v>
      </c>
      <c r="C11" s="2" t="inlineStr">
        <is>
          <t>DDL y constraints</t>
        </is>
      </c>
      <c r="D11" s="2" t="inlineStr">
        <is>
          <t>CREATE DATABASE/TABLE/SCHEMA, ALTER, DROP, VIEW; tipos de datos; PK, FK, UNIQUE, NOT NULL, CHECK, DEFAULT</t>
        </is>
      </c>
      <c r="E11" s="2" t="inlineStr">
        <is>
          <t>CREATE DATABASE/TABLE/SCHEMA, ALTER, DROP, VIEW; tipos de datos; PK, FK, UNIQUE, NOT NULL, CHECK, DEFAULT</t>
        </is>
      </c>
      <c r="F11" s="2" t="inlineStr">
        <is>
          <t>SQL</t>
        </is>
      </c>
      <c r="G11" s="2" t="inlineStr">
        <is>
          <t>Avanzado</t>
        </is>
      </c>
      <c r="H11" s="2" t="n">
        <v>12</v>
      </c>
      <c r="I11" s="2" t="inlineStr">
        <is>
          <t>Pendiente</t>
        </is>
      </c>
      <c r="J11" s="4" t="n">
        <v>0</v>
      </c>
      <c r="K11" s="2" t="inlineStr"/>
    </row>
    <row r="12">
      <c r="A12" s="2" t="n">
        <v>11</v>
      </c>
      <c r="B12" s="2" t="n">
        <v>6</v>
      </c>
      <c r="C12" s="2" t="inlineStr">
        <is>
          <t>Transacciones</t>
        </is>
      </c>
      <c r="D12" s="2" t="inlineStr">
        <is>
          <t>ACID, BEGIN, COMMIT, ROLLBACK, SAVEPOINT, locks, deadlocks, concurrencia, niveles de aislamiento</t>
        </is>
      </c>
      <c r="E12" s="2" t="inlineStr">
        <is>
          <t>ACID, BEGIN, COMMIT, ROLLBACK, SAVEPOINT, locks, deadlocks, concurrencia, niveles de aislamiento</t>
        </is>
      </c>
      <c r="F12" s="2" t="inlineStr">
        <is>
          <t>SQL</t>
        </is>
      </c>
      <c r="G12" s="2" t="inlineStr">
        <is>
          <t>Avanzado</t>
        </is>
      </c>
      <c r="H12" s="2" t="n">
        <v>12</v>
      </c>
      <c r="I12" s="2" t="inlineStr">
        <is>
          <t>Pendiente</t>
        </is>
      </c>
      <c r="J12" s="4" t="n">
        <v>0</v>
      </c>
      <c r="K12" s="2" t="inlineStr"/>
    </row>
    <row r="13">
      <c r="A13" s="2" t="n">
        <v>12</v>
      </c>
      <c r="B13" s="2" t="n">
        <v>6</v>
      </c>
      <c r="C13" s="2" t="inlineStr">
        <is>
          <t>Índices</t>
        </is>
      </c>
      <c r="D13" s="2" t="inlineStr">
        <is>
          <t>B-Tree, únicos, compuestos, parciales, expresiones, cuándo usar/no usar índices</t>
        </is>
      </c>
      <c r="E13" s="2" t="inlineStr">
        <is>
          <t>B-Tree, únicos, compuestos, parciales, expresiones, cuándo usar/no usar índices</t>
        </is>
      </c>
      <c r="F13" s="2" t="inlineStr">
        <is>
          <t>SQL</t>
        </is>
      </c>
      <c r="G13" s="2" t="inlineStr">
        <is>
          <t>Avanzado</t>
        </is>
      </c>
      <c r="H13" s="2" t="n">
        <v>10</v>
      </c>
      <c r="I13" s="2" t="inlineStr">
        <is>
          <t>Pendiente</t>
        </is>
      </c>
      <c r="J13" s="4" t="n">
        <v>0</v>
      </c>
      <c r="K13" s="2" t="inlineStr"/>
    </row>
    <row r="14">
      <c r="A14" s="2" t="n">
        <v>13</v>
      </c>
      <c r="B14" s="2" t="n">
        <v>7</v>
      </c>
      <c r="C14" s="2" t="inlineStr">
        <is>
          <t>Optimización</t>
        </is>
      </c>
      <c r="D14" s="2" t="inlineStr">
        <is>
          <t>EXPLAIN, EXPLAIN ANALYZE, planner, execution plans, scans, cardinalidad, selectividad, JOINs, consultas lentas, N+1, paginación</t>
        </is>
      </c>
      <c r="E14" s="2" t="inlineStr">
        <is>
          <t>EXPLAIN, EXPLAIN ANALYZE, planner, execution plans, scans, cardinalidad, selectividad, JOINs, consultas lentas, N+1, paginación</t>
        </is>
      </c>
      <c r="F14" s="2" t="inlineStr">
        <is>
          <t>SQL</t>
        </is>
      </c>
      <c r="G14" s="2" t="inlineStr">
        <is>
          <t>Avanzado</t>
        </is>
      </c>
      <c r="H14" s="2" t="n">
        <v>14</v>
      </c>
      <c r="I14" s="2" t="inlineStr">
        <is>
          <t>Pendiente</t>
        </is>
      </c>
      <c r="J14" s="4" t="n">
        <v>0</v>
      </c>
      <c r="K14" s="2" t="inlineStr"/>
    </row>
    <row r="15">
      <c r="A15" s="2" t="n">
        <v>14</v>
      </c>
      <c r="B15" s="2" t="n">
        <v>7</v>
      </c>
      <c r="C15" s="2" t="inlineStr">
        <is>
          <t>PostgreSQL</t>
        </is>
      </c>
      <c r="D15" s="2" t="inlineStr">
        <is>
          <t>psql, schemas, roles, usuarios, permisos, JSONB, arrays, UUID, RETURNING, ON CONFLICT</t>
        </is>
      </c>
      <c r="E15" s="2" t="inlineStr">
        <is>
          <t>psql, schemas, roles, usuarios, permisos, JSONB, arrays, UUID, RETURNING, ON CONFLICT</t>
        </is>
      </c>
      <c r="F15" s="2" t="inlineStr">
        <is>
          <t>PostgreSQL</t>
        </is>
      </c>
      <c r="G15" s="2" t="inlineStr">
        <is>
          <t>Avanzado</t>
        </is>
      </c>
      <c r="H15" s="2" t="n">
        <v>12</v>
      </c>
      <c r="I15" s="2" t="inlineStr">
        <is>
          <t>Pendiente</t>
        </is>
      </c>
      <c r="J15" s="4" t="n">
        <v>0</v>
      </c>
      <c r="K15" s="2" t="inlineStr"/>
    </row>
    <row r="16">
      <c r="A16" s="2" t="n">
        <v>15</v>
      </c>
      <c r="B16" s="2" t="n">
        <v>8</v>
      </c>
      <c r="C16" s="2" t="inlineStr">
        <is>
          <t>PostgreSQL avanzado</t>
        </is>
      </c>
      <c r="D16" s="2" t="inlineStr">
        <is>
          <t>Funciones, procedimientos, triggers, views, materialized views, índices avanzados, extensiones, pg_dump, pg_restore</t>
        </is>
      </c>
      <c r="E16" s="2" t="inlineStr">
        <is>
          <t>Funciones, procedimientos, triggers, views, materialized views, índices avanzados, extensiones, pg_dump, pg_restore</t>
        </is>
      </c>
      <c r="F16" s="2" t="inlineStr">
        <is>
          <t>PostgreSQL</t>
        </is>
      </c>
      <c r="G16" s="2" t="inlineStr">
        <is>
          <t>Profesional</t>
        </is>
      </c>
      <c r="H16" s="2" t="n">
        <v>14</v>
      </c>
      <c r="I16" s="2" t="inlineStr">
        <is>
          <t>Pendiente</t>
        </is>
      </c>
      <c r="J16" s="4" t="n">
        <v>0</v>
      </c>
      <c r="K16" s="2" t="inlineStr"/>
    </row>
    <row r="17">
      <c r="A17" s="2" t="n">
        <v>16</v>
      </c>
      <c r="B17" s="2" t="n">
        <v>8</v>
      </c>
      <c r="C17" s="2" t="inlineStr">
        <is>
          <t>Interfaces</t>
        </is>
      </c>
      <c r="D17" s="2" t="inlineStr">
        <is>
          <t>pgAdmin y DBeaver: conexión, navegación, consultas, explain, exportación y administración básica</t>
        </is>
      </c>
      <c r="E17" s="2" t="inlineStr">
        <is>
          <t>pgAdmin y DBeaver: conexión, navegación, consultas, explain, exportación y administración básica</t>
        </is>
      </c>
      <c r="F17" s="2" t="inlineStr">
        <is>
          <t>pgAdmin/DBeaver</t>
        </is>
      </c>
      <c r="G17" s="2" t="inlineStr">
        <is>
          <t>Profesional</t>
        </is>
      </c>
      <c r="H17" s="2" t="n">
        <v>8</v>
      </c>
      <c r="I17" s="2" t="inlineStr">
        <is>
          <t>Pendiente</t>
        </is>
      </c>
      <c r="J17" s="4" t="n">
        <v>0</v>
      </c>
      <c r="K17" s="2" t="inlineStr"/>
    </row>
    <row r="18">
      <c r="A18" s="2" t="n">
        <v>17</v>
      </c>
      <c r="B18" s="2" t="n">
        <v>9</v>
      </c>
      <c r="C18" s="2" t="inlineStr">
        <is>
          <t>Docker</t>
        </is>
      </c>
      <c r="D18" s="2" t="inlineStr">
        <is>
          <t>Imágenes, contenedores, Dockerfile, Compose, puertos, volúmenes, redes, variables de entorno, logs, exec, persistencia</t>
        </is>
      </c>
      <c r="E18" s="2" t="inlineStr">
        <is>
          <t>Imágenes, contenedores, Dockerfile, Compose, puertos, volúmenes, redes, variables de entorno, logs, exec, persistencia</t>
        </is>
      </c>
      <c r="F18" s="2" t="inlineStr">
        <is>
          <t>Docker</t>
        </is>
      </c>
      <c r="G18" s="2" t="inlineStr">
        <is>
          <t>Avanzado</t>
        </is>
      </c>
      <c r="H18" s="2" t="n">
        <v>14</v>
      </c>
      <c r="I18" s="2" t="inlineStr">
        <is>
          <t>Pendiente</t>
        </is>
      </c>
      <c r="J18" s="4" t="n">
        <v>0</v>
      </c>
      <c r="K18" s="2" t="inlineStr"/>
    </row>
    <row r="19">
      <c r="A19" s="2" t="n">
        <v>18</v>
      </c>
      <c r="B19" s="2" t="n">
        <v>9</v>
      </c>
      <c r="C19" s="2" t="inlineStr">
        <is>
          <t>Docker laboratorio</t>
        </is>
      </c>
      <c r="D19" s="2" t="inlineStr">
        <is>
          <t>Levantar PostgreSQL, MySQL, MariaDB, SQL Server, MongoDB y Redis; volúmenes, redes y troubleshooting</t>
        </is>
      </c>
      <c r="E19" s="2" t="inlineStr">
        <is>
          <t>Levantar PostgreSQL, MySQL, MariaDB, SQL Server, MongoDB y Redis; volúmenes, redes y troubleshooting</t>
        </is>
      </c>
      <c r="F19" s="2" t="inlineStr">
        <is>
          <t>Docker</t>
        </is>
      </c>
      <c r="G19" s="2" t="inlineStr">
        <is>
          <t>Profesional</t>
        </is>
      </c>
      <c r="H19" s="2" t="n">
        <v>14</v>
      </c>
      <c r="I19" s="2" t="inlineStr">
        <is>
          <t>Pendiente</t>
        </is>
      </c>
      <c r="J19" s="4" t="n">
        <v>0</v>
      </c>
      <c r="K19" s="2" t="inlineStr"/>
    </row>
    <row r="20">
      <c r="A20" s="2" t="n">
        <v>19</v>
      </c>
      <c r="B20" s="2" t="n">
        <v>10</v>
      </c>
      <c r="C20" s="2" t="inlineStr">
        <is>
          <t>MySQL y MariaDB</t>
        </is>
      </c>
      <c r="D20" s="2" t="inlineStr">
        <is>
          <t>Diferencias con PostgreSQL, tipos, índices, transacciones, usuarios, permisos, backups/restauración, ON DUPLICATE KEY UPDATE</t>
        </is>
      </c>
      <c r="E20" s="2" t="inlineStr">
        <is>
          <t>Diferencias con PostgreSQL, tipos, índices, transacciones, usuarios, permisos, backups/restauración, ON DUPLICATE KEY UPDATE</t>
        </is>
      </c>
      <c r="F20" s="2" t="inlineStr">
        <is>
          <t>MySQL/MariaDB</t>
        </is>
      </c>
      <c r="G20" s="2" t="inlineStr">
        <is>
          <t>Intermedio</t>
        </is>
      </c>
      <c r="H20" s="2" t="n">
        <v>14</v>
      </c>
      <c r="I20" s="2" t="inlineStr">
        <is>
          <t>Pendiente</t>
        </is>
      </c>
      <c r="J20" s="4" t="n">
        <v>0</v>
      </c>
      <c r="K20" s="2" t="inlineStr"/>
    </row>
    <row r="21">
      <c r="A21" s="2" t="n">
        <v>20</v>
      </c>
      <c r="B21" s="2" t="n">
        <v>10</v>
      </c>
      <c r="C21" s="2" t="inlineStr">
        <is>
          <t>SQL Server</t>
        </is>
      </c>
      <c r="D21" s="2" t="inlineStr">
        <is>
          <t>T-SQL, TOP, IDENTITY, schemas, stored procedures, funciones, triggers, views, CTE, window functions, índices</t>
        </is>
      </c>
      <c r="E21" s="2" t="inlineStr">
        <is>
          <t>T-SQL, TOP, IDENTITY, schemas, stored procedures, funciones, triggers, views, CTE, window functions, índices</t>
        </is>
      </c>
      <c r="F21" s="2" t="inlineStr">
        <is>
          <t>SQL Server</t>
        </is>
      </c>
      <c r="G21" s="2" t="inlineStr">
        <is>
          <t>Avanzado</t>
        </is>
      </c>
      <c r="H21" s="2" t="n">
        <v>14</v>
      </c>
      <c r="I21" s="2" t="inlineStr">
        <is>
          <t>Pendiente</t>
        </is>
      </c>
      <c r="J21" s="4" t="n">
        <v>0</v>
      </c>
      <c r="K21" s="2" t="inlineStr"/>
    </row>
    <row r="22">
      <c r="A22" s="2" t="n">
        <v>21</v>
      </c>
      <c r="B22" s="2" t="n">
        <v>11</v>
      </c>
      <c r="C22" s="2" t="inlineStr">
        <is>
          <t>SQL Server + SQLite</t>
        </is>
      </c>
      <c r="D22" s="2" t="inlineStr">
        <is>
          <t>SSMS, execution plans, seguridad, backups/restauración; SQLite, WAL, limitaciones y casos de uso</t>
        </is>
      </c>
      <c r="E22" s="2" t="inlineStr">
        <is>
          <t>SSMS, execution plans, seguridad, backups/restauración; SQLite, WAL, limitaciones y casos de uso</t>
        </is>
      </c>
      <c r="F22" s="2" t="inlineStr">
        <is>
          <t>SQL Server/SQLite</t>
        </is>
      </c>
      <c r="G22" s="2" t="inlineStr">
        <is>
          <t>Avanzado</t>
        </is>
      </c>
      <c r="H22" s="2" t="n">
        <v>12</v>
      </c>
      <c r="I22" s="2" t="inlineStr">
        <is>
          <t>Pendiente</t>
        </is>
      </c>
      <c r="J22" s="4" t="n">
        <v>0</v>
      </c>
      <c r="K22" s="2" t="inlineStr"/>
    </row>
    <row r="23">
      <c r="A23" s="2" t="n">
        <v>22</v>
      </c>
      <c r="B23" s="2" t="n">
        <v>11</v>
      </c>
      <c r="C23" s="2" t="inlineStr">
        <is>
          <t>MongoDB</t>
        </is>
      </c>
      <c r="D23" s="2" t="inlineStr">
        <is>
          <t>Documentos, colecciones, BSON, CRUD, filtros, operadores, índices, aggregation pipeline, $lookup, modelado, embedding/referencing</t>
        </is>
      </c>
      <c r="E23" s="2" t="inlineStr">
        <is>
          <t>Documentos, colecciones, BSON, CRUD, filtros, operadores, índices, aggregation pipeline, $lookup, modelado, embedding/referencing</t>
        </is>
      </c>
      <c r="F23" s="2" t="inlineStr">
        <is>
          <t>MongoDB</t>
        </is>
      </c>
      <c r="G23" s="2" t="inlineStr">
        <is>
          <t>Avanzado</t>
        </is>
      </c>
      <c r="H23" s="2" t="n">
        <v>14</v>
      </c>
      <c r="I23" s="2" t="inlineStr">
        <is>
          <t>Pendiente</t>
        </is>
      </c>
      <c r="J23" s="4" t="n">
        <v>0</v>
      </c>
      <c r="K23" s="2" t="inlineStr"/>
    </row>
    <row r="24">
      <c r="A24" s="2" t="n">
        <v>23</v>
      </c>
      <c r="B24" s="2" t="n">
        <v>12</v>
      </c>
      <c r="C24" s="2" t="inlineStr">
        <is>
          <t>Redis</t>
        </is>
      </c>
      <c r="D24" s="2" t="inlineStr">
        <is>
          <t>Strings, Lists, Sets, Sorted Sets, Hashes, Streams, TTL, Pub/Sub, transacciones, pipelines, caching, sesiones, rate limiting</t>
        </is>
      </c>
      <c r="E24" s="2" t="inlineStr">
        <is>
          <t>Strings, Lists, Sets, Sorted Sets, Hashes, Streams, TTL, Pub/Sub, transacciones, pipelines, caching, sesiones, rate limiting</t>
        </is>
      </c>
      <c r="F24" s="2" t="inlineStr">
        <is>
          <t>Redis</t>
        </is>
      </c>
      <c r="G24" s="2" t="inlineStr">
        <is>
          <t>Avanzado</t>
        </is>
      </c>
      <c r="H24" s="2" t="n">
        <v>12</v>
      </c>
      <c r="I24" s="2" t="inlineStr">
        <is>
          <t>Pendiente</t>
        </is>
      </c>
      <c r="J24" s="4" t="n">
        <v>0</v>
      </c>
      <c r="K24" s="2" t="inlineStr"/>
    </row>
    <row r="25">
      <c r="A25" s="2" t="n">
        <v>24</v>
      </c>
      <c r="B25" s="2" t="n">
        <v>12</v>
      </c>
      <c r="C25" s="2" t="inlineStr">
        <is>
          <t>Proyecto final</t>
        </is>
      </c>
      <c r="D25" s="2" t="inlineStr">
        <is>
          <t>Docker + PostgreSQL + Redis + MongoDB + DBeaver + Git + API + SQL avanzado + backups + optimización</t>
        </is>
      </c>
      <c r="E25" s="2" t="inlineStr">
        <is>
          <t>Docker + PostgreSQL + Redis + MongoDB + DBeaver + Git + API + SQL avanzado + backups + optimización</t>
        </is>
      </c>
      <c r="F25" s="2" t="inlineStr">
        <is>
          <t>Proyecto</t>
        </is>
      </c>
      <c r="G25" s="2" t="inlineStr">
        <is>
          <t>Profesional</t>
        </is>
      </c>
      <c r="H25" s="2" t="n">
        <v>18</v>
      </c>
      <c r="I25" s="2" t="inlineStr">
        <is>
          <t>Pendiente</t>
        </is>
      </c>
      <c r="J25" s="4" t="n">
        <v>0</v>
      </c>
      <c r="K25" s="2" t="inlineStr"/>
    </row>
  </sheetData>
  <autoFilter ref="A1:K25"/>
  <conditionalFormatting sqref="J2:J25">
    <cfRule type="dataBar" priority="1">
      <dataBar showValue="1">
        <cfvo type="num" val="0"/>
        <cfvo type="num" val="1"/>
        <color rgb="004472C4"/>
      </dataBar>
    </cfRule>
  </conditionalFormatting>
  <dataValidations count="1">
    <dataValidation sqref="I2:I25" showDropDown="0" showInputMessage="0" showErrorMessage="0" allowBlank="0" type="list">
      <formula1>"Pendiente,En progreso,Completado,Bloqueado"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</cols>
  <sheetData>
    <row r="1" ht="30" customHeight="1">
      <c r="A1" s="6" t="inlineStr">
        <is>
          <t>Tecnología</t>
        </is>
      </c>
      <c r="B1" s="6" t="inlineStr">
        <is>
          <t>Tipo</t>
        </is>
      </c>
      <c r="C1" s="6" t="inlineStr">
        <is>
          <t>Nivel</t>
        </is>
      </c>
      <c r="D1" s="6" t="inlineStr">
        <is>
          <t>Prioridad</t>
        </is>
      </c>
    </row>
    <row r="2">
      <c r="A2" s="2" t="inlineStr">
        <is>
          <t>PostgreSQL</t>
        </is>
      </c>
      <c r="B2" s="2" t="inlineStr">
        <is>
          <t>SQL</t>
        </is>
      </c>
      <c r="C2" s="2" t="inlineStr">
        <is>
          <t>Principal</t>
        </is>
      </c>
      <c r="D2" s="2" t="inlineStr">
        <is>
          <t>Alta</t>
        </is>
      </c>
    </row>
    <row r="3">
      <c r="A3" s="2" t="inlineStr">
        <is>
          <t>MySQL</t>
        </is>
      </c>
      <c r="B3" s="2" t="inlineStr">
        <is>
          <t>SQL</t>
        </is>
      </c>
      <c r="C3" s="2" t="inlineStr">
        <is>
          <t>Principal</t>
        </is>
      </c>
      <c r="D3" s="2" t="inlineStr">
        <is>
          <t>Alta</t>
        </is>
      </c>
    </row>
    <row r="4">
      <c r="A4" s="2" t="inlineStr">
        <is>
          <t>MariaDB</t>
        </is>
      </c>
      <c r="B4" s="2" t="inlineStr">
        <is>
          <t>SQL</t>
        </is>
      </c>
      <c r="C4" s="2" t="inlineStr">
        <is>
          <t>Intermedio</t>
        </is>
      </c>
      <c r="D4" s="2" t="inlineStr">
        <is>
          <t>Media</t>
        </is>
      </c>
    </row>
    <row r="5">
      <c r="A5" s="2" t="inlineStr">
        <is>
          <t>SQL Server</t>
        </is>
      </c>
      <c r="B5" s="2" t="inlineStr">
        <is>
          <t>SQL</t>
        </is>
      </c>
      <c r="C5" s="2" t="inlineStr">
        <is>
          <t>Avanzado</t>
        </is>
      </c>
      <c r="D5" s="2" t="inlineStr">
        <is>
          <t>Alta</t>
        </is>
      </c>
    </row>
    <row r="6">
      <c r="A6" s="2" t="inlineStr">
        <is>
          <t>SQLite</t>
        </is>
      </c>
      <c r="B6" s="2" t="inlineStr">
        <is>
          <t>SQL</t>
        </is>
      </c>
      <c r="C6" s="2" t="inlineStr">
        <is>
          <t>Básico</t>
        </is>
      </c>
      <c r="D6" s="2" t="inlineStr">
        <is>
          <t>Media</t>
        </is>
      </c>
    </row>
    <row r="7">
      <c r="A7" s="2" t="inlineStr">
        <is>
          <t>MongoDB</t>
        </is>
      </c>
      <c r="B7" s="2" t="inlineStr">
        <is>
          <t>NoSQL</t>
        </is>
      </c>
      <c r="C7" s="2" t="inlineStr">
        <is>
          <t>Avanzado</t>
        </is>
      </c>
      <c r="D7" s="2" t="inlineStr">
        <is>
          <t>Alta</t>
        </is>
      </c>
    </row>
    <row r="8">
      <c r="A8" s="2" t="inlineStr">
        <is>
          <t>Redis</t>
        </is>
      </c>
      <c r="B8" s="2" t="inlineStr">
        <is>
          <t>NoSQL</t>
        </is>
      </c>
      <c r="C8" s="2" t="inlineStr">
        <is>
          <t>Avanzado</t>
        </is>
      </c>
      <c r="D8" s="2" t="inlineStr">
        <is>
          <t>Alta</t>
        </is>
      </c>
    </row>
    <row r="9">
      <c r="A9" s="2" t="inlineStr">
        <is>
          <t>Docker</t>
        </is>
      </c>
      <c r="B9" s="2" t="inlineStr">
        <is>
          <t>Infraestructura</t>
        </is>
      </c>
      <c r="C9" s="2" t="inlineStr">
        <is>
          <t>Avanzado</t>
        </is>
      </c>
      <c r="D9" s="2" t="inlineStr">
        <is>
          <t>Alta</t>
        </is>
      </c>
    </row>
    <row r="10">
      <c r="A10" s="2" t="inlineStr">
        <is>
          <t>Kaggle</t>
        </is>
      </c>
      <c r="B10" s="2" t="inlineStr">
        <is>
          <t>Práctica</t>
        </is>
      </c>
      <c r="C10" s="2" t="inlineStr">
        <is>
          <t>Avanzado</t>
        </is>
      </c>
      <c r="D10" s="2" t="inlineStr">
        <is>
          <t>Alta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45" customWidth="1" min="4" max="4"/>
    <col width="11" customWidth="1" min="5" max="5"/>
    <col width="12" customWidth="1" min="6" max="6"/>
  </cols>
  <sheetData>
    <row r="1" ht="30" customHeight="1">
      <c r="A1" s="7" t="inlineStr">
        <is>
          <t>Interfaz</t>
        </is>
      </c>
      <c r="B1" s="7" t="inlineStr">
        <is>
          <t>Base de datos</t>
        </is>
      </c>
      <c r="C1" s="7" t="inlineStr">
        <is>
          <t>Nivel</t>
        </is>
      </c>
      <c r="D1" s="7" t="inlineStr">
        <is>
          <t>Funciones</t>
        </is>
      </c>
      <c r="E1" s="7" t="inlineStr">
        <is>
          <t>Estado</t>
        </is>
      </c>
      <c r="F1" s="7" t="inlineStr">
        <is>
          <t>% progreso</t>
        </is>
      </c>
    </row>
    <row r="2">
      <c r="A2" s="2" t="inlineStr">
        <is>
          <t>pgAdmin</t>
        </is>
      </c>
      <c r="B2" s="2" t="inlineStr">
        <is>
          <t>PostgreSQL</t>
        </is>
      </c>
      <c r="C2" s="2" t="inlineStr">
        <is>
          <t>Profesional</t>
        </is>
      </c>
      <c r="D2" s="2" t="inlineStr">
        <is>
          <t>Conexiones, schemas, queries, administración, backups</t>
        </is>
      </c>
      <c r="E2" s="2" t="inlineStr">
        <is>
          <t>Pendiente</t>
        </is>
      </c>
      <c r="F2" s="4" t="n">
        <v>0</v>
      </c>
    </row>
    <row r="3">
      <c r="A3" s="2" t="inlineStr">
        <is>
          <t>DBeaver</t>
        </is>
      </c>
      <c r="B3" s="2" t="inlineStr">
        <is>
          <t>Múltiples</t>
        </is>
      </c>
      <c r="C3" s="2" t="inlineStr">
        <is>
          <t>Profesional</t>
        </is>
      </c>
      <c r="D3" s="2" t="inlineStr">
        <is>
          <t>SQL, conexiones, ERD, exportación, explain</t>
        </is>
      </c>
      <c r="E3" s="2" t="inlineStr">
        <is>
          <t>Pendiente</t>
        </is>
      </c>
      <c r="F3" s="4" t="n">
        <v>0</v>
      </c>
    </row>
    <row r="4">
      <c r="A4" s="2" t="inlineStr">
        <is>
          <t>DataGrip</t>
        </is>
      </c>
      <c r="B4" s="2" t="inlineStr">
        <is>
          <t>Múltiples</t>
        </is>
      </c>
      <c r="C4" s="2" t="inlineStr">
        <is>
          <t>Avanzado</t>
        </is>
      </c>
      <c r="D4" s="2" t="inlineStr">
        <is>
          <t>IDE SQL, navegación, refactorización, comparación</t>
        </is>
      </c>
      <c r="E4" s="2" t="inlineStr">
        <is>
          <t>Pendiente</t>
        </is>
      </c>
      <c r="F4" s="4" t="n">
        <v>0</v>
      </c>
    </row>
    <row r="5">
      <c r="A5" s="2" t="inlineStr">
        <is>
          <t>MongoDB Compass</t>
        </is>
      </c>
      <c r="B5" s="2" t="inlineStr">
        <is>
          <t>MongoDB</t>
        </is>
      </c>
      <c r="C5" s="2" t="inlineStr">
        <is>
          <t>Avanzado</t>
        </is>
      </c>
      <c r="D5" s="2" t="inlineStr">
        <is>
          <t>Documentos, filtros, aggregation, índices</t>
        </is>
      </c>
      <c r="E5" s="2" t="inlineStr">
        <is>
          <t>Pendiente</t>
        </is>
      </c>
      <c r="F5" s="4" t="n">
        <v>0</v>
      </c>
    </row>
    <row r="6">
      <c r="A6" s="2" t="inlineStr">
        <is>
          <t>Redis Insight</t>
        </is>
      </c>
      <c r="B6" s="2" t="inlineStr">
        <is>
          <t>Redis</t>
        </is>
      </c>
      <c r="C6" s="2" t="inlineStr">
        <is>
          <t>Avanzado</t>
        </is>
      </c>
      <c r="D6" s="2" t="inlineStr">
        <is>
          <t>Keys, TTL, comandos, streams, monitoreo básico</t>
        </is>
      </c>
      <c r="E6" s="2" t="inlineStr">
        <is>
          <t>Pendiente</t>
        </is>
      </c>
      <c r="F6" s="4" t="n">
        <v>0</v>
      </c>
    </row>
    <row r="7">
      <c r="A7" s="2" t="inlineStr">
        <is>
          <t>SSMS</t>
        </is>
      </c>
      <c r="B7" s="2" t="inlineStr">
        <is>
          <t>SQL Server</t>
        </is>
      </c>
      <c r="C7" s="2" t="inlineStr">
        <is>
          <t>Avanzado</t>
        </is>
      </c>
      <c r="D7" s="2" t="inlineStr">
        <is>
          <t>T-SQL, planes, seguridad, backups</t>
        </is>
      </c>
      <c r="E7" s="2" t="inlineStr">
        <is>
          <t>Pendiente</t>
        </is>
      </c>
      <c r="F7" s="4" t="n">
        <v>0</v>
      </c>
    </row>
    <row r="8">
      <c r="A8" s="2" t="inlineStr">
        <is>
          <t>phpMyAdmin</t>
        </is>
      </c>
      <c r="B8" s="2" t="inlineStr">
        <is>
          <t>MySQL/MariaDB</t>
        </is>
      </c>
      <c r="C8" s="2" t="inlineStr">
        <is>
          <t>Intermedio</t>
        </is>
      </c>
      <c r="D8" s="2" t="inlineStr">
        <is>
          <t>Administración web, SQL, export/import</t>
        </is>
      </c>
      <c r="E8" s="2" t="inlineStr">
        <is>
          <t>Pendiente</t>
        </is>
      </c>
      <c r="F8" s="4" t="n">
        <v>0</v>
      </c>
    </row>
    <row r="9">
      <c r="A9" s="2" t="inlineStr">
        <is>
          <t>MySQL Workbench</t>
        </is>
      </c>
      <c r="B9" s="2" t="inlineStr">
        <is>
          <t>MySQL</t>
        </is>
      </c>
      <c r="C9" s="2" t="inlineStr">
        <is>
          <t>Intermedio</t>
        </is>
      </c>
      <c r="D9" s="2" t="inlineStr">
        <is>
          <t>Modelado, SQL, administración</t>
        </is>
      </c>
      <c r="E9" s="2" t="inlineStr">
        <is>
          <t>Pendiente</t>
        </is>
      </c>
      <c r="F9" s="4" t="n">
        <v>0</v>
      </c>
    </row>
  </sheetData>
  <autoFilter ref="A1:F9"/>
  <conditionalFormatting sqref="F2:F9">
    <cfRule type="dataBar" priority="1">
      <dataBar showValue="1">
        <cfvo type="num" val="0"/>
        <cfvo type="num" val="1"/>
        <color rgb="004472C4"/>
      </dataBar>
    </cfRule>
  </conditionalFormatting>
  <dataValidations count="1">
    <dataValidation sqref="E2:E9" showDropDown="0" showInputMessage="0" showErrorMessage="0" allowBlank="0" type="list">
      <formula1>"Pendiente,En progreso,Completado,Bloqueado"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1" customWidth="1" min="3" max="3"/>
    <col width="10" customWidth="1" min="4" max="4"/>
  </cols>
  <sheetData>
    <row r="1" ht="30" customHeight="1">
      <c r="A1" s="8" t="inlineStr">
        <is>
          <t>Checklist</t>
        </is>
      </c>
      <c r="B1" s="8" t="inlineStr">
        <is>
          <t>Objetivo</t>
        </is>
      </c>
      <c r="C1" s="8" t="inlineStr">
        <is>
          <t>Estado</t>
        </is>
      </c>
      <c r="D1" s="8" t="inlineStr">
        <is>
          <t>Notas</t>
        </is>
      </c>
    </row>
    <row r="2">
      <c r="A2" s="2" t="inlineStr">
        <is>
          <t>Docker instalado</t>
        </is>
      </c>
      <c r="B2" s="2" t="inlineStr">
        <is>
          <t>Instalar y validar Docker</t>
        </is>
      </c>
      <c r="C2" s="2" t="inlineStr">
        <is>
          <t>Pendiente</t>
        </is>
      </c>
      <c r="D2" s="2" t="inlineStr"/>
    </row>
    <row r="3">
      <c r="A3" s="2" t="inlineStr">
        <is>
          <t>Docker Compose</t>
        </is>
      </c>
      <c r="B3" s="2" t="inlineStr">
        <is>
          <t>Crear compose.yaml</t>
        </is>
      </c>
      <c r="C3" s="2" t="inlineStr">
        <is>
          <t>Pendiente</t>
        </is>
      </c>
      <c r="D3" s="2" t="inlineStr"/>
    </row>
    <row r="4">
      <c r="A4" s="2" t="inlineStr">
        <is>
          <t>PostgreSQL</t>
        </is>
      </c>
      <c r="B4" s="2" t="inlineStr">
        <is>
          <t>Contenedor + volumen</t>
        </is>
      </c>
      <c r="C4" s="2" t="inlineStr">
        <is>
          <t>Pendiente</t>
        </is>
      </c>
      <c r="D4" s="2" t="inlineStr"/>
    </row>
    <row r="5">
      <c r="A5" s="2" t="inlineStr">
        <is>
          <t>MySQL</t>
        </is>
      </c>
      <c r="B5" s="2" t="inlineStr">
        <is>
          <t>Contenedor + volumen</t>
        </is>
      </c>
      <c r="C5" s="2" t="inlineStr">
        <is>
          <t>Pendiente</t>
        </is>
      </c>
      <c r="D5" s="2" t="inlineStr"/>
    </row>
    <row r="6">
      <c r="A6" s="2" t="inlineStr">
        <is>
          <t>MariaDB</t>
        </is>
      </c>
      <c r="B6" s="2" t="inlineStr">
        <is>
          <t>Contenedor + volumen</t>
        </is>
      </c>
      <c r="C6" s="2" t="inlineStr">
        <is>
          <t>Pendiente</t>
        </is>
      </c>
      <c r="D6" s="2" t="inlineStr"/>
    </row>
    <row r="7">
      <c r="A7" s="2" t="inlineStr">
        <is>
          <t>SQL Server</t>
        </is>
      </c>
      <c r="B7" s="2" t="inlineStr">
        <is>
          <t>Contenedor + persistencia</t>
        </is>
      </c>
      <c r="C7" s="2" t="inlineStr">
        <is>
          <t>Pendiente</t>
        </is>
      </c>
      <c r="D7" s="2" t="inlineStr"/>
    </row>
    <row r="8">
      <c r="A8" s="2" t="inlineStr">
        <is>
          <t>MongoDB</t>
        </is>
      </c>
      <c r="B8" s="2" t="inlineStr">
        <is>
          <t>Contenedor + volumen</t>
        </is>
      </c>
      <c r="C8" s="2" t="inlineStr">
        <is>
          <t>Pendiente</t>
        </is>
      </c>
      <c r="D8" s="2" t="inlineStr"/>
    </row>
    <row r="9">
      <c r="A9" s="2" t="inlineStr">
        <is>
          <t>Redis</t>
        </is>
      </c>
      <c r="B9" s="2" t="inlineStr">
        <is>
          <t>Contenedor + persistencia</t>
        </is>
      </c>
      <c r="C9" s="2" t="inlineStr">
        <is>
          <t>Pendiente</t>
        </is>
      </c>
      <c r="D9" s="2" t="inlineStr"/>
    </row>
    <row r="10">
      <c r="A10" s="2" t="inlineStr">
        <is>
          <t>Volúmenes</t>
        </is>
      </c>
      <c r="B10" s="2" t="inlineStr">
        <is>
          <t>Crear, inspeccionar y respaldar</t>
        </is>
      </c>
      <c r="C10" s="2" t="inlineStr">
        <is>
          <t>Pendiente</t>
        </is>
      </c>
      <c r="D10" s="2" t="inlineStr"/>
    </row>
    <row r="11">
      <c r="A11" s="2" t="inlineStr">
        <is>
          <t>Redes</t>
        </is>
      </c>
      <c r="B11" s="2" t="inlineStr">
        <is>
          <t>Crear red y comunicación entre servicios</t>
        </is>
      </c>
      <c r="C11" s="2" t="inlineStr">
        <is>
          <t>Pendiente</t>
        </is>
      </c>
      <c r="D11" s="2" t="inlineStr"/>
    </row>
    <row r="12">
      <c r="A12" s="2" t="inlineStr">
        <is>
          <t>Variables de entorno</t>
        </is>
      </c>
      <c r="B12" s="2" t="inlineStr">
        <is>
          <t>Configurar secrets/env sin hardcodear</t>
        </is>
      </c>
      <c r="C12" s="2" t="inlineStr">
        <is>
          <t>Pendiente</t>
        </is>
      </c>
      <c r="D12" s="2" t="inlineStr"/>
    </row>
    <row r="13">
      <c r="A13" s="2" t="inlineStr">
        <is>
          <t>Backups</t>
        </is>
      </c>
      <c r="B13" s="2" t="inlineStr">
        <is>
          <t>Backup y restore de BD</t>
        </is>
      </c>
      <c r="C13" s="2" t="inlineStr">
        <is>
          <t>Pendiente</t>
        </is>
      </c>
      <c r="D13" s="2" t="inlineStr"/>
    </row>
    <row r="14">
      <c r="A14" s="2" t="inlineStr">
        <is>
          <t>Logs</t>
        </is>
      </c>
      <c r="B14" s="2" t="inlineStr">
        <is>
          <t>docker logs y diagnóstico</t>
        </is>
      </c>
      <c r="C14" s="2" t="inlineStr">
        <is>
          <t>Pendiente</t>
        </is>
      </c>
      <c r="D14" s="2" t="inlineStr"/>
    </row>
    <row r="15">
      <c r="A15" s="2" t="inlineStr">
        <is>
          <t>Troubleshooting</t>
        </is>
      </c>
      <c r="B15" s="2" t="inlineStr">
        <is>
          <t>Puertos, DNS, volúmenes y permisos</t>
        </is>
      </c>
      <c r="C15" s="2" t="inlineStr">
        <is>
          <t>Pendiente</t>
        </is>
      </c>
      <c r="D15" s="2" t="inlineStr"/>
    </row>
  </sheetData>
  <autoFilter ref="A1:D15"/>
  <dataValidations count="1">
    <dataValidation sqref="C2:C15" showDropDown="0" showInputMessage="0" showErrorMessage="0" allowBlank="0" type="list">
      <formula1>"Pendiente,En progreso,Completado,Bloqueado"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2" customWidth="1" min="4" max="4"/>
    <col width="10" customWidth="1" min="5" max="5"/>
    <col width="11" customWidth="1" min="6" max="6"/>
    <col width="11" customWidth="1" min="7" max="7"/>
    <col width="10" customWidth="1" min="8" max="8"/>
  </cols>
  <sheetData>
    <row r="1" ht="30" customHeight="1">
      <c r="A1" s="9" t="inlineStr">
        <is>
          <t>Ejercicio</t>
        </is>
      </c>
      <c r="B1" s="9" t="inlineStr">
        <is>
          <t>Dataset</t>
        </is>
      </c>
      <c r="C1" s="9" t="inlineStr">
        <is>
          <t>Tema SQL</t>
        </is>
      </c>
      <c r="D1" s="9" t="inlineStr">
        <is>
          <t>Dificultad</t>
        </is>
      </c>
      <c r="E1" s="9" t="inlineStr">
        <is>
          <t>Fecha</t>
        </is>
      </c>
      <c r="F1" s="9" t="inlineStr">
        <is>
          <t>Resultado</t>
        </is>
      </c>
      <c r="G1" s="9" t="inlineStr">
        <is>
          <t>Estado</t>
        </is>
      </c>
      <c r="H1" s="9" t="inlineStr">
        <is>
          <t>Notas</t>
        </is>
      </c>
    </row>
    <row r="2">
      <c r="A2" s="2" t="inlineStr">
        <is>
          <t>Ejercicio 1</t>
        </is>
      </c>
      <c r="B2" s="2" t="inlineStr">
        <is>
          <t>Dataset real de Kaggle</t>
        </is>
      </c>
      <c r="C2" s="2" t="inlineStr">
        <is>
          <t>SQL / análisis</t>
        </is>
      </c>
      <c r="D2" s="2" t="inlineStr">
        <is>
          <t>Intermedio</t>
        </is>
      </c>
      <c r="E2" s="2" t="inlineStr"/>
      <c r="F2" s="2" t="inlineStr"/>
      <c r="G2" s="2" t="inlineStr">
        <is>
          <t>Pendiente</t>
        </is>
      </c>
      <c r="H2" s="2" t="inlineStr"/>
    </row>
    <row r="3">
      <c r="A3" s="2" t="inlineStr">
        <is>
          <t>Ejercicio 2</t>
        </is>
      </c>
      <c r="B3" s="2" t="inlineStr">
        <is>
          <t>Dataset real de Kaggle</t>
        </is>
      </c>
      <c r="C3" s="2" t="inlineStr">
        <is>
          <t>SQL / análisis</t>
        </is>
      </c>
      <c r="D3" s="2" t="inlineStr">
        <is>
          <t>Intermedio</t>
        </is>
      </c>
      <c r="E3" s="2" t="inlineStr"/>
      <c r="F3" s="2" t="inlineStr"/>
      <c r="G3" s="2" t="inlineStr">
        <is>
          <t>Pendiente</t>
        </is>
      </c>
      <c r="H3" s="2" t="inlineStr"/>
    </row>
    <row r="4">
      <c r="A4" s="2" t="inlineStr">
        <is>
          <t>Ejercicio 3</t>
        </is>
      </c>
      <c r="B4" s="2" t="inlineStr">
        <is>
          <t>Dataset real de Kaggle</t>
        </is>
      </c>
      <c r="C4" s="2" t="inlineStr">
        <is>
          <t>SQL / análisis</t>
        </is>
      </c>
      <c r="D4" s="2" t="inlineStr">
        <is>
          <t>Intermedio</t>
        </is>
      </c>
      <c r="E4" s="2" t="inlineStr"/>
      <c r="F4" s="2" t="inlineStr"/>
      <c r="G4" s="2" t="inlineStr">
        <is>
          <t>Pendiente</t>
        </is>
      </c>
      <c r="H4" s="2" t="inlineStr"/>
    </row>
    <row r="5">
      <c r="A5" s="2" t="inlineStr">
        <is>
          <t>Ejercicio 4</t>
        </is>
      </c>
      <c r="B5" s="2" t="inlineStr">
        <is>
          <t>Dataset real de Kaggle</t>
        </is>
      </c>
      <c r="C5" s="2" t="inlineStr">
        <is>
          <t>SQL / análisis</t>
        </is>
      </c>
      <c r="D5" s="2" t="inlineStr">
        <is>
          <t>Intermedio</t>
        </is>
      </c>
      <c r="E5" s="2" t="inlineStr"/>
      <c r="F5" s="2" t="inlineStr"/>
      <c r="G5" s="2" t="inlineStr">
        <is>
          <t>Pendiente</t>
        </is>
      </c>
      <c r="H5" s="2" t="inlineStr"/>
    </row>
    <row r="6">
      <c r="A6" s="2" t="inlineStr">
        <is>
          <t>Ejercicio 5</t>
        </is>
      </c>
      <c r="B6" s="2" t="inlineStr">
        <is>
          <t>Dataset real de Kaggle</t>
        </is>
      </c>
      <c r="C6" s="2" t="inlineStr">
        <is>
          <t>SQL / análisis</t>
        </is>
      </c>
      <c r="D6" s="2" t="inlineStr">
        <is>
          <t>Intermedio</t>
        </is>
      </c>
      <c r="E6" s="2" t="inlineStr"/>
      <c r="F6" s="2" t="inlineStr"/>
      <c r="G6" s="2" t="inlineStr">
        <is>
          <t>Pendiente</t>
        </is>
      </c>
      <c r="H6" s="2" t="inlineStr"/>
    </row>
    <row r="7">
      <c r="A7" s="2" t="inlineStr">
        <is>
          <t>Ejercicio 6</t>
        </is>
      </c>
      <c r="B7" s="2" t="inlineStr">
        <is>
          <t>Dataset real de Kaggle</t>
        </is>
      </c>
      <c r="C7" s="2" t="inlineStr">
        <is>
          <t>SQL / análisis</t>
        </is>
      </c>
      <c r="D7" s="2" t="inlineStr">
        <is>
          <t>Intermedio</t>
        </is>
      </c>
      <c r="E7" s="2" t="inlineStr"/>
      <c r="F7" s="2" t="inlineStr"/>
      <c r="G7" s="2" t="inlineStr">
        <is>
          <t>Pendiente</t>
        </is>
      </c>
      <c r="H7" s="2" t="inlineStr"/>
    </row>
    <row r="8">
      <c r="A8" s="2" t="inlineStr">
        <is>
          <t>Ejercicio 7</t>
        </is>
      </c>
      <c r="B8" s="2" t="inlineStr">
        <is>
          <t>Dataset real de Kaggle</t>
        </is>
      </c>
      <c r="C8" s="2" t="inlineStr">
        <is>
          <t>SQL / análisis</t>
        </is>
      </c>
      <c r="D8" s="2" t="inlineStr">
        <is>
          <t>Avanzado</t>
        </is>
      </c>
      <c r="E8" s="2" t="inlineStr"/>
      <c r="F8" s="2" t="inlineStr"/>
      <c r="G8" s="2" t="inlineStr">
        <is>
          <t>Pendiente</t>
        </is>
      </c>
      <c r="H8" s="2" t="inlineStr"/>
    </row>
    <row r="9">
      <c r="A9" s="2" t="inlineStr">
        <is>
          <t>Ejercicio 8</t>
        </is>
      </c>
      <c r="B9" s="2" t="inlineStr">
        <is>
          <t>Dataset real de Kaggle</t>
        </is>
      </c>
      <c r="C9" s="2" t="inlineStr">
        <is>
          <t>SQL / análisis</t>
        </is>
      </c>
      <c r="D9" s="2" t="inlineStr">
        <is>
          <t>Avanzado</t>
        </is>
      </c>
      <c r="E9" s="2" t="inlineStr"/>
      <c r="F9" s="2" t="inlineStr"/>
      <c r="G9" s="2" t="inlineStr">
        <is>
          <t>Pendiente</t>
        </is>
      </c>
      <c r="H9" s="2" t="inlineStr"/>
    </row>
    <row r="10">
      <c r="A10" s="2" t="inlineStr">
        <is>
          <t>Ejercicio 9</t>
        </is>
      </c>
      <c r="B10" s="2" t="inlineStr">
        <is>
          <t>Dataset real de Kaggle</t>
        </is>
      </c>
      <c r="C10" s="2" t="inlineStr">
        <is>
          <t>SQL / análisis</t>
        </is>
      </c>
      <c r="D10" s="2" t="inlineStr">
        <is>
          <t>Avanzado</t>
        </is>
      </c>
      <c r="E10" s="2" t="inlineStr"/>
      <c r="F10" s="2" t="inlineStr"/>
      <c r="G10" s="2" t="inlineStr">
        <is>
          <t>Pendiente</t>
        </is>
      </c>
      <c r="H10" s="2" t="inlineStr"/>
    </row>
    <row r="11">
      <c r="A11" s="2" t="inlineStr">
        <is>
          <t>Ejercicio 10</t>
        </is>
      </c>
      <c r="B11" s="2" t="inlineStr">
        <is>
          <t>Dataset real de Kaggle</t>
        </is>
      </c>
      <c r="C11" s="2" t="inlineStr">
        <is>
          <t>SQL / análisis</t>
        </is>
      </c>
      <c r="D11" s="2" t="inlineStr">
        <is>
          <t>Avanzado</t>
        </is>
      </c>
      <c r="E11" s="2" t="inlineStr"/>
      <c r="F11" s="2" t="inlineStr"/>
      <c r="G11" s="2" t="inlineStr">
        <is>
          <t>Pendiente</t>
        </is>
      </c>
      <c r="H11" s="2" t="inlineStr"/>
    </row>
    <row r="12">
      <c r="A12" s="2" t="inlineStr">
        <is>
          <t>Ejercicio 11</t>
        </is>
      </c>
      <c r="B12" s="2" t="inlineStr">
        <is>
          <t>Dataset real de Kaggle</t>
        </is>
      </c>
      <c r="C12" s="2" t="inlineStr">
        <is>
          <t>SQL / análisis</t>
        </is>
      </c>
      <c r="D12" s="2" t="inlineStr">
        <is>
          <t>Avanzado</t>
        </is>
      </c>
      <c r="E12" s="2" t="inlineStr"/>
      <c r="F12" s="2" t="inlineStr"/>
      <c r="G12" s="2" t="inlineStr">
        <is>
          <t>Pendiente</t>
        </is>
      </c>
      <c r="H12" s="2" t="inlineStr"/>
    </row>
    <row r="13">
      <c r="A13" s="2" t="inlineStr">
        <is>
          <t>Ejercicio 12</t>
        </is>
      </c>
      <c r="B13" s="2" t="inlineStr">
        <is>
          <t>Dataset real de Kaggle</t>
        </is>
      </c>
      <c r="C13" s="2" t="inlineStr">
        <is>
          <t>SQL / análisis</t>
        </is>
      </c>
      <c r="D13" s="2" t="inlineStr">
        <is>
          <t>Avanzado</t>
        </is>
      </c>
      <c r="E13" s="2" t="inlineStr"/>
      <c r="F13" s="2" t="inlineStr"/>
      <c r="G13" s="2" t="inlineStr">
        <is>
          <t>Pendiente</t>
        </is>
      </c>
      <c r="H13" s="2" t="inlineStr"/>
    </row>
  </sheetData>
  <autoFilter ref="A1:H13"/>
  <dataValidations count="1">
    <dataValidation sqref="G2:G13" showDropDown="0" showInputMessage="0" showErrorMessage="0" allowBlank="0" type="list">
      <formula1>"Pendiente,En progreso,Completado,Bloqueado"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5" customWidth="1" min="3" max="3"/>
    <col width="30" customWidth="1" min="4" max="4"/>
    <col width="30" customWidth="1" min="5" max="5"/>
    <col width="35" customWidth="1" min="6" max="6"/>
    <col width="10" customWidth="1" min="7" max="7"/>
    <col width="31" customWidth="1" min="8" max="8"/>
    <col width="11" customWidth="1" min="9" max="9"/>
    <col width="12" customWidth="1" min="10" max="10"/>
    <col width="14" customWidth="1" min="11" max="11"/>
    <col width="11" customWidth="1" min="12" max="12"/>
  </cols>
  <sheetData>
    <row r="1" ht="30" customHeight="1">
      <c r="A1" s="10" t="inlineStr">
        <is>
          <t>ID</t>
        </is>
      </c>
      <c r="B1" s="10" t="inlineStr">
        <is>
          <t>Proyecto</t>
        </is>
      </c>
      <c r="C1" s="10" t="inlineStr">
        <is>
          <t>Objetivo</t>
        </is>
      </c>
      <c r="D1" s="10" t="inlineStr">
        <is>
          <t>Tecnología</t>
        </is>
      </c>
      <c r="E1" s="10" t="inlineStr">
        <is>
          <t>Base de datos</t>
        </is>
      </c>
      <c r="F1" s="10" t="inlineStr">
        <is>
          <t>Interfaz</t>
        </is>
      </c>
      <c r="G1" s="10" t="inlineStr">
        <is>
          <t>Docker</t>
        </is>
      </c>
      <c r="H1" s="10" t="inlineStr">
        <is>
          <t>SQL avanzado</t>
        </is>
      </c>
      <c r="I1" s="10" t="inlineStr">
        <is>
          <t>Estado</t>
        </is>
      </c>
      <c r="J1" s="10" t="inlineStr">
        <is>
          <t>% progreso</t>
        </is>
      </c>
      <c r="K1" s="10" t="inlineStr">
        <is>
          <t>Fecha inicio</t>
        </is>
      </c>
      <c r="L1" s="10" t="inlineStr">
        <is>
          <t>Fecha fin</t>
        </is>
      </c>
    </row>
    <row r="2">
      <c r="A2" s="2" t="inlineStr">
        <is>
          <t>P1</t>
        </is>
      </c>
      <c r="B2" s="2" t="inlineStr">
        <is>
          <t>Tienda</t>
        </is>
      </c>
      <c r="C2" s="2" t="inlineStr">
        <is>
          <t>Diseñar BD relacional de tienda</t>
        </is>
      </c>
      <c r="D2" s="2" t="inlineStr">
        <is>
          <t>PostgreSQL</t>
        </is>
      </c>
      <c r="E2" s="2" t="inlineStr">
        <is>
          <t>PostgreSQL</t>
        </is>
      </c>
      <c r="F2" s="2" t="inlineStr">
        <is>
          <t>DBeaver</t>
        </is>
      </c>
      <c r="G2" s="2" t="inlineStr">
        <is>
          <t>Sí</t>
        </is>
      </c>
      <c r="H2" s="2" t="inlineStr">
        <is>
          <t>SQL básico/intermedio</t>
        </is>
      </c>
      <c r="I2" s="2" t="inlineStr">
        <is>
          <t>Pendiente</t>
        </is>
      </c>
      <c r="J2" s="4" t="n">
        <v>0</v>
      </c>
      <c r="K2" s="2" t="inlineStr"/>
      <c r="L2" s="2" t="inlineStr"/>
    </row>
    <row r="3">
      <c r="A3" s="2" t="inlineStr">
        <is>
          <t>P2</t>
        </is>
      </c>
      <c r="B3" s="2" t="inlineStr">
        <is>
          <t>Sistema de ventas</t>
        </is>
      </c>
      <c r="C3" s="2" t="inlineStr">
        <is>
          <t>Ventas, clientes, productos, detalle de venta</t>
        </is>
      </c>
      <c r="D3" s="2" t="inlineStr">
        <is>
          <t>PostgreSQL</t>
        </is>
      </c>
      <c r="E3" s="2" t="inlineStr">
        <is>
          <t>PostgreSQL</t>
        </is>
      </c>
      <c r="F3" s="2" t="inlineStr">
        <is>
          <t>DBeaver/pgAdmin</t>
        </is>
      </c>
      <c r="G3" s="2" t="inlineStr">
        <is>
          <t>Sí</t>
        </is>
      </c>
      <c r="H3" s="2" t="inlineStr">
        <is>
          <t>JOINs + agregaciones</t>
        </is>
      </c>
      <c r="I3" s="2" t="inlineStr">
        <is>
          <t>Pendiente</t>
        </is>
      </c>
      <c r="J3" s="4" t="n">
        <v>0</v>
      </c>
      <c r="K3" s="2" t="inlineStr"/>
      <c r="L3" s="2" t="inlineStr"/>
    </row>
    <row r="4">
      <c r="A4" s="2" t="inlineStr">
        <is>
          <t>P3</t>
        </is>
      </c>
      <c r="B4" s="2" t="inlineStr">
        <is>
          <t>Inventario</t>
        </is>
      </c>
      <c r="C4" s="2" t="inlineStr">
        <is>
          <t>Stock, movimientos, alertas y consultas</t>
        </is>
      </c>
      <c r="D4" s="2" t="inlineStr">
        <is>
          <t>PostgreSQL</t>
        </is>
      </c>
      <c r="E4" s="2" t="inlineStr">
        <is>
          <t>PostgreSQL</t>
        </is>
      </c>
      <c r="F4" s="2" t="inlineStr">
        <is>
          <t>DBeaver</t>
        </is>
      </c>
      <c r="G4" s="2" t="inlineStr">
        <is>
          <t>Sí</t>
        </is>
      </c>
      <c r="H4" s="2" t="inlineStr">
        <is>
          <t>CTE + Window Functions</t>
        </is>
      </c>
      <c r="I4" s="2" t="inlineStr">
        <is>
          <t>Pendiente</t>
        </is>
      </c>
      <c r="J4" s="4" t="n">
        <v>0</v>
      </c>
      <c r="K4" s="2" t="inlineStr"/>
      <c r="L4" s="2" t="inlineStr"/>
    </row>
    <row r="5">
      <c r="A5" s="2" t="inlineStr">
        <is>
          <t>P4</t>
        </is>
      </c>
      <c r="B5" s="2" t="inlineStr">
        <is>
          <t>Usuarios y permisos</t>
        </is>
      </c>
      <c r="C5" s="2" t="inlineStr">
        <is>
          <t>Usuarios, roles y permisos</t>
        </is>
      </c>
      <c r="D5" s="2" t="inlineStr">
        <is>
          <t>PostgreSQL</t>
        </is>
      </c>
      <c r="E5" s="2" t="inlineStr">
        <is>
          <t>PostgreSQL</t>
        </is>
      </c>
      <c r="F5" s="2" t="inlineStr">
        <is>
          <t>pgAdmin/DBeaver</t>
        </is>
      </c>
      <c r="G5" s="2" t="inlineStr">
        <is>
          <t>Sí</t>
        </is>
      </c>
      <c r="H5" s="2" t="inlineStr">
        <is>
          <t>Constraints + seguridad</t>
        </is>
      </c>
      <c r="I5" s="2" t="inlineStr">
        <is>
          <t>Pendiente</t>
        </is>
      </c>
      <c r="J5" s="4" t="n">
        <v>0</v>
      </c>
      <c r="K5" s="2" t="inlineStr"/>
      <c r="L5" s="2" t="inlineStr"/>
    </row>
    <row r="6">
      <c r="A6" s="2" t="inlineStr">
        <is>
          <t>P5</t>
        </is>
      </c>
      <c r="B6" s="2" t="inlineStr">
        <is>
          <t>API + PostgreSQL</t>
        </is>
      </c>
      <c r="C6" s="2" t="inlineStr">
        <is>
          <t>API CRUD conectada a PostgreSQL</t>
        </is>
      </c>
      <c r="D6" s="2" t="inlineStr">
        <is>
          <t>PostgreSQL</t>
        </is>
      </c>
      <c r="E6" s="2" t="inlineStr">
        <is>
          <t>PostgreSQL</t>
        </is>
      </c>
      <c r="F6" s="2" t="inlineStr">
        <is>
          <t>DBeaver</t>
        </is>
      </c>
      <c r="G6" s="2" t="inlineStr">
        <is>
          <t>Sí</t>
        </is>
      </c>
      <c r="H6" s="2" t="inlineStr">
        <is>
          <t>SQL + transacciones</t>
        </is>
      </c>
      <c r="I6" s="2" t="inlineStr">
        <is>
          <t>Pendiente</t>
        </is>
      </c>
      <c r="J6" s="4" t="n">
        <v>0</v>
      </c>
      <c r="K6" s="2" t="inlineStr"/>
      <c r="L6" s="2" t="inlineStr"/>
    </row>
    <row r="7">
      <c r="A7" s="2" t="inlineStr">
        <is>
          <t>P6</t>
        </is>
      </c>
      <c r="B7" s="2" t="inlineStr">
        <is>
          <t>PostgreSQL + Redis</t>
        </is>
      </c>
      <c r="C7" s="2" t="inlineStr">
        <is>
          <t>Cache, sesiones y rate limiting</t>
        </is>
      </c>
      <c r="D7" s="2" t="inlineStr">
        <is>
          <t>PostgreSQL + Redis</t>
        </is>
      </c>
      <c r="E7" s="2" t="inlineStr">
        <is>
          <t>PostgreSQL + Redis</t>
        </is>
      </c>
      <c r="F7" s="2" t="inlineStr">
        <is>
          <t>DBeaver/Redis Insight</t>
        </is>
      </c>
      <c r="G7" s="2" t="inlineStr">
        <is>
          <t>Sí</t>
        </is>
      </c>
      <c r="H7" s="2" t="inlineStr">
        <is>
          <t>SQL + Redis</t>
        </is>
      </c>
      <c r="I7" s="2" t="inlineStr">
        <is>
          <t>Pendiente</t>
        </is>
      </c>
      <c r="J7" s="4" t="n">
        <v>0</v>
      </c>
      <c r="K7" s="2" t="inlineStr"/>
      <c r="L7" s="2" t="inlineStr"/>
    </row>
    <row r="8">
      <c r="A8" s="2" t="inlineStr">
        <is>
          <t>P7</t>
        </is>
      </c>
      <c r="B8" s="2" t="inlineStr">
        <is>
          <t>MongoDB</t>
        </is>
      </c>
      <c r="C8" s="2" t="inlineStr">
        <is>
          <t>Aplicación documental con aggregation</t>
        </is>
      </c>
      <c r="D8" s="2" t="inlineStr">
        <is>
          <t>MongoDB</t>
        </is>
      </c>
      <c r="E8" s="2" t="inlineStr">
        <is>
          <t>MongoDB</t>
        </is>
      </c>
      <c r="F8" s="2" t="inlineStr">
        <is>
          <t>Compass</t>
        </is>
      </c>
      <c r="G8" s="2" t="inlineStr">
        <is>
          <t>Sí</t>
        </is>
      </c>
      <c r="H8" s="2" t="inlineStr">
        <is>
          <t>NoSQL + aggregation</t>
        </is>
      </c>
      <c r="I8" s="2" t="inlineStr">
        <is>
          <t>Pendiente</t>
        </is>
      </c>
      <c r="J8" s="4" t="n">
        <v>0</v>
      </c>
      <c r="K8" s="2" t="inlineStr"/>
      <c r="L8" s="2" t="inlineStr"/>
    </row>
    <row r="9">
      <c r="A9" s="2" t="inlineStr">
        <is>
          <t>P8</t>
        </is>
      </c>
      <c r="B9" s="2" t="inlineStr">
        <is>
          <t>Proyecto final</t>
        </is>
      </c>
      <c r="C9" s="2" t="inlineStr">
        <is>
          <t>Plataforma integrada con persistencia, cache, API, backups y optimización</t>
        </is>
      </c>
      <c r="D9" s="2" t="inlineStr">
        <is>
          <t>PostgreSQL + Redis + MongoDB</t>
        </is>
      </c>
      <c r="E9" s="2" t="inlineStr">
        <is>
          <t>PostgreSQL + Redis + MongoDB</t>
        </is>
      </c>
      <c r="F9" s="2" t="inlineStr">
        <is>
          <t>DBeaver + Compass + Redis Insight</t>
        </is>
      </c>
      <c r="G9" s="2" t="inlineStr">
        <is>
          <t>Sí</t>
        </is>
      </c>
      <c r="H9" s="2" t="inlineStr">
        <is>
          <t>SQL avanzado + NoSQL + Docker</t>
        </is>
      </c>
      <c r="I9" s="2" t="inlineStr">
        <is>
          <t>Pendiente</t>
        </is>
      </c>
      <c r="J9" s="4" t="n">
        <v>0</v>
      </c>
      <c r="K9" s="2" t="inlineStr"/>
      <c r="L9" s="2" t="inlineStr"/>
    </row>
  </sheetData>
  <autoFilter ref="A1:L9"/>
  <conditionalFormatting sqref="J2:J9">
    <cfRule type="dataBar" priority="1">
      <dataBar showValue="1">
        <cfvo type="num" val="0"/>
        <cfvo type="num" val="1"/>
        <color rgb="004472C4"/>
      </dataBar>
    </cfRule>
  </conditionalFormatting>
  <dataValidations count="1">
    <dataValidation sqref="I2:I9" showDropDown="0" showInputMessage="0" showErrorMessage="0" allowBlank="0" type="list">
      <formula1>"Pendiente,En progreso,Completado,Bloqueado"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</cols>
  <sheetData>
    <row r="1" ht="30" customHeight="1">
      <c r="A1" s="11" t="inlineStr">
        <is>
          <t>Indicador</t>
        </is>
      </c>
      <c r="B1" s="11" t="inlineStr">
        <is>
          <t>Valor</t>
        </is>
      </c>
    </row>
    <row r="2">
      <c r="A2" s="2" t="inlineStr">
        <is>
          <t>% total completado</t>
        </is>
      </c>
      <c r="B2" s="2">
        <f>IFERROR(AVERAGE(GANTT!K2:K25),0)</f>
        <v/>
      </c>
    </row>
    <row r="3">
      <c r="A3" s="2" t="inlineStr">
        <is>
          <t>Horas planificadas</t>
        </is>
      </c>
      <c r="B3" s="2">
        <f>SUM(GANTT!G2:G25)</f>
        <v/>
      </c>
    </row>
    <row r="4">
      <c r="A4" s="2" t="inlineStr">
        <is>
          <t>Horas completadas</t>
        </is>
      </c>
      <c r="B4" s="2">
        <f>SUMPRODUCT(GANTT!G2:G25,GANTT!K2:K25)</f>
        <v/>
      </c>
    </row>
    <row r="5">
      <c r="A5" s="2" t="inlineStr">
        <is>
          <t>Horas restantes</t>
        </is>
      </c>
      <c r="B5" s="2">
        <f>B3-B4</f>
        <v/>
      </c>
    </row>
    <row r="6">
      <c r="A6" s="2" t="inlineStr">
        <is>
          <t>Temas completados</t>
        </is>
      </c>
      <c r="B6" s="2">
        <f>COUNTIF(GANTT!J2:J25,"Completado")</f>
        <v/>
      </c>
    </row>
    <row r="7">
      <c r="A7" s="2" t="inlineStr">
        <is>
          <t>Temas pendientes</t>
        </is>
      </c>
      <c r="B7" s="2">
        <f>COUNTIF(GANTT!J2:J25,"&lt;&gt;Completado")</f>
        <v/>
      </c>
    </row>
    <row r="8">
      <c r="A8" s="2" t="inlineStr">
        <is>
          <t>Proyectos completados</t>
        </is>
      </c>
      <c r="B8" s="2">
        <f>COUNTIF(PROYECTOS!I2:I9,"Completado")</f>
        <v/>
      </c>
    </row>
    <row r="9">
      <c r="A9" s="2" t="inlineStr">
        <is>
          <t>Tecnologías dominadas</t>
        </is>
      </c>
      <c r="B9" s="2">
        <f>COUNTIF(TECNOLOGÍAS!C2:C10,"Profesional")</f>
        <v/>
      </c>
    </row>
    <row r="17">
      <c r="D17" s="12" t="inlineStr">
        <is>
          <t>Uso</t>
        </is>
      </c>
    </row>
    <row r="18">
      <c r="D18" s="13" t="inlineStr">
        <is>
          <t>Actualiza Estado y % progreso. El dashboard usa fórmulas para reflejar el avance.</t>
        </is>
      </c>
    </row>
    <row r="19"/>
    <row r="20"/>
  </sheetData>
  <autoFilter ref="A1:B9"/>
  <mergeCells count="1">
    <mergeCell ref="D18:H20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45" customWidth="1" min="4" max="4"/>
    <col width="12" customWidth="1" min="5" max="5"/>
    <col width="33" customWidth="1" min="6" max="6"/>
  </cols>
  <sheetData>
    <row r="1" ht="30" customHeight="1">
      <c r="A1" s="9" t="inlineStr">
        <is>
          <t>Semana</t>
        </is>
      </c>
      <c r="B1" s="9" t="inlineStr">
        <is>
          <t>Objetivo semanal</t>
        </is>
      </c>
      <c r="C1" s="9" t="inlineStr">
        <is>
          <t>Temas principales</t>
        </is>
      </c>
      <c r="D1" s="9" t="inlineStr">
        <is>
          <t>Horas objetivo</t>
        </is>
      </c>
      <c r="E1" s="9" t="inlineStr">
        <is>
          <t>Entregable</t>
        </is>
      </c>
      <c r="F1" s="9" t="n"/>
    </row>
    <row r="2">
      <c r="A2" s="2" t="n">
        <v>1</v>
      </c>
      <c r="B2" s="2" t="inlineStr">
        <is>
          <t>Fundamentos y modelo</t>
        </is>
      </c>
      <c r="C2" s="2" t="inlineStr">
        <is>
          <t>Bases de datos + modelado</t>
        </is>
      </c>
      <c r="D2" s="2" t="inlineStr">
        <is>
          <t>DBMS, PK/FK, relaciones, normalización</t>
        </is>
      </c>
      <c r="E2" s="2" t="n">
        <v>20</v>
      </c>
      <c r="F2" s="2" t="inlineStr">
        <is>
          <t>Modelo ER de tienda</t>
        </is>
      </c>
    </row>
    <row r="3">
      <c r="A3" s="2" t="n">
        <v>2</v>
      </c>
      <c r="B3" s="2" t="inlineStr">
        <is>
          <t>SQL básico + CRUD</t>
        </is>
      </c>
      <c r="C3" s="2" t="inlineStr">
        <is>
          <t>Consultar y modificar datos</t>
        </is>
      </c>
      <c r="D3" s="2" t="inlineStr">
        <is>
          <t>SELECT, filtros, INSERT, UPDATE, DELETE</t>
        </is>
      </c>
      <c r="E3" s="2" t="n">
        <v>20</v>
      </c>
      <c r="F3" s="2" t="inlineStr">
        <is>
          <t>BD tienda operativa</t>
        </is>
      </c>
    </row>
    <row r="4">
      <c r="A4" s="2" t="n">
        <v>3</v>
      </c>
      <c r="B4" s="2" t="inlineStr">
        <is>
          <t>Funciones + JOINs</t>
        </is>
      </c>
      <c r="C4" s="2" t="inlineStr">
        <is>
          <t>Consultar varias tablas</t>
        </is>
      </c>
      <c r="D4" s="2" t="inlineStr">
        <is>
          <t>Funciones, agregaciones, JOINs</t>
        </is>
      </c>
      <c r="E4" s="2" t="n">
        <v>24</v>
      </c>
      <c r="F4" s="2" t="inlineStr">
        <is>
          <t>Reporte de ventas</t>
        </is>
      </c>
    </row>
    <row r="5">
      <c r="A5" s="2" t="n">
        <v>4</v>
      </c>
      <c r="B5" s="2" t="inlineStr">
        <is>
          <t>SQL intermedio/avanzado</t>
        </is>
      </c>
      <c r="C5" s="2" t="inlineStr">
        <is>
          <t>Resolver problemas complejos</t>
        </is>
      </c>
      <c r="D5" s="2" t="inlineStr">
        <is>
          <t>Subqueries, CASE, CTE, Window</t>
        </is>
      </c>
      <c r="E5" s="2" t="n">
        <v>28</v>
      </c>
      <c r="F5" s="2" t="inlineStr">
        <is>
          <t>Top clientes + ranking</t>
        </is>
      </c>
    </row>
    <row r="6">
      <c r="A6" s="2" t="n">
        <v>5</v>
      </c>
      <c r="B6" s="2" t="inlineStr">
        <is>
          <t>DDL + transacciones</t>
        </is>
      </c>
      <c r="C6" s="2" t="inlineStr">
        <is>
          <t>Administración lógica</t>
        </is>
      </c>
      <c r="D6" s="2" t="inlineStr">
        <is>
          <t>DDL, constraints, ACID, locks</t>
        </is>
      </c>
      <c r="E6" s="2" t="n">
        <v>24</v>
      </c>
      <c r="F6" s="2" t="inlineStr">
        <is>
          <t>Script completo + transacciones</t>
        </is>
      </c>
    </row>
    <row r="7">
      <c r="A7" s="2" t="n">
        <v>6</v>
      </c>
      <c r="B7" s="2" t="inlineStr">
        <is>
          <t>Índices + optimización</t>
        </is>
      </c>
      <c r="C7" s="2" t="inlineStr">
        <is>
          <t>Mejorar performance</t>
        </is>
      </c>
      <c r="D7" s="2" t="inlineStr">
        <is>
          <t>EXPLAIN, índices, planner</t>
        </is>
      </c>
      <c r="E7" s="2" t="n">
        <v>22</v>
      </c>
      <c r="F7" s="2" t="inlineStr">
        <is>
          <t>Optimizar 3 consultas</t>
        </is>
      </c>
    </row>
    <row r="8">
      <c r="A8" s="2" t="n">
        <v>7</v>
      </c>
      <c r="B8" s="2" t="inlineStr">
        <is>
          <t>PostgreSQL</t>
        </is>
      </c>
      <c r="C8" s="2" t="inlineStr">
        <is>
          <t>Dominar BD principal</t>
        </is>
      </c>
      <c r="D8" s="2" t="inlineStr">
        <is>
          <t>roles, JSONB, funciones, triggers, backups</t>
        </is>
      </c>
      <c r="E8" s="2" t="n">
        <v>26</v>
      </c>
      <c r="F8" s="2" t="inlineStr">
        <is>
          <t>BD PostgreSQL profesional</t>
        </is>
      </c>
    </row>
    <row r="9">
      <c r="A9" s="2" t="n">
        <v>8</v>
      </c>
      <c r="B9" s="2" t="inlineStr">
        <is>
          <t>Interfaces + PostgreSQL avanzado</t>
        </is>
      </c>
      <c r="C9" s="2" t="inlineStr">
        <is>
          <t>Operar profesionalmente</t>
        </is>
      </c>
      <c r="D9" s="2" t="inlineStr">
        <is>
          <t>pgAdmin, DBeaver, views/materialized views</t>
        </is>
      </c>
      <c r="E9" s="2" t="n">
        <v>22</v>
      </c>
      <c r="F9" s="2" t="inlineStr">
        <is>
          <t>Runbook básico</t>
        </is>
      </c>
    </row>
    <row r="10">
      <c r="A10" s="2" t="n">
        <v>9</v>
      </c>
      <c r="B10" s="2" t="inlineStr">
        <is>
          <t>Docker</t>
        </is>
      </c>
      <c r="C10" s="2" t="inlineStr">
        <is>
          <t>Infraestructura reproducible</t>
        </is>
      </c>
      <c r="D10" s="2" t="inlineStr">
        <is>
          <t>Compose, redes, volúmenes, logs</t>
        </is>
      </c>
      <c r="E10" s="2" t="n">
        <v>28</v>
      </c>
      <c r="F10" s="2" t="inlineStr">
        <is>
          <t>Stack DB en Docker</t>
        </is>
      </c>
    </row>
    <row r="11">
      <c r="A11" s="2" t="n">
        <v>10</v>
      </c>
      <c r="B11" s="2" t="inlineStr">
        <is>
          <t>MySQL + MariaDB + SQL Server</t>
        </is>
      </c>
      <c r="C11" s="2" t="inlineStr">
        <is>
          <t>Comparar motores</t>
        </is>
      </c>
      <c r="D11" s="2" t="inlineStr">
        <is>
          <t>T-SQL, diferencias, backups, SSMS/Workbench</t>
        </is>
      </c>
      <c r="E11" s="2" t="n">
        <v>28</v>
      </c>
      <c r="F11" s="2" t="inlineStr">
        <is>
          <t>Misma solución en 2 motores</t>
        </is>
      </c>
    </row>
    <row r="12">
      <c r="A12" s="2" t="n">
        <v>11</v>
      </c>
      <c r="B12" s="2" t="inlineStr">
        <is>
          <t>SQLite + MongoDB + Kaggle</t>
        </is>
      </c>
      <c r="C12" s="2" t="inlineStr">
        <is>
          <t>NoSQL/documental</t>
        </is>
      </c>
      <c r="D12" s="2" t="inlineStr">
        <is>
          <t>SQLite, MongoDB, aggregation, práctica</t>
        </is>
      </c>
      <c r="E12" s="2" t="n">
        <v>26</v>
      </c>
      <c r="F12" s="2" t="inlineStr">
        <is>
          <t>Dataset analizado</t>
        </is>
      </c>
    </row>
    <row r="13">
      <c r="A13" s="2" t="n">
        <v>12</v>
      </c>
      <c r="B13" s="2" t="inlineStr">
        <is>
          <t>Redis + proyecto final</t>
        </is>
      </c>
      <c r="C13" s="2" t="inlineStr">
        <is>
          <t>Integración profesional</t>
        </is>
      </c>
      <c r="D13" s="2" t="inlineStr">
        <is>
          <t>Cache, API, Docker, backups, optimización</t>
        </is>
      </c>
      <c r="E13" s="2" t="n">
        <v>30</v>
      </c>
      <c r="F13" s="2" t="inlineStr">
        <is>
          <t>Proyecto final desplegable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2026-10-08T13:56:50Z</dcterms:created>
  <dcterms:modified xmlns:dcterms="http://purl.org/dc/terms/" xmlns:xsi="http://www.w3.org/2001/XMLSchema-instance" xsi:type="dcterms:W3CDTF">2026-10-08T13:56:50Z</dcterms:modified>
</cp:coreProperties>
</file>